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TheSimulator\"/>
    </mc:Choice>
  </mc:AlternateContent>
  <bookViews>
    <workbookView xWindow="480" yWindow="120" windowWidth="20730" windowHeight="11760" activeTab="4"/>
  </bookViews>
  <sheets>
    <sheet name="VersionControl" sheetId="7" r:id="rId1"/>
    <sheet name="Sheet2" sheetId="2" r:id="rId2"/>
    <sheet name="SimWorkSheetxxxxx" sheetId="8" r:id="rId3"/>
    <sheet name="ComponentDatabase" sheetId="9" r:id="rId4"/>
    <sheet name="SimWorkSheet" sheetId="10" r:id="rId5"/>
    <sheet name="Sheet5" sheetId="11" r:id="rId6"/>
  </sheets>
  <functionGroups builtInGroupCount="18"/>
  <calcPr calcId="152511"/>
</workbook>
</file>

<file path=xl/calcChain.xml><?xml version="1.0" encoding="utf-8"?>
<calcChain xmlns="http://schemas.openxmlformats.org/spreadsheetml/2006/main">
  <c r="L30" i="11" l="1"/>
  <c r="L29" i="11"/>
  <c r="K26" i="11"/>
  <c r="K25" i="11"/>
  <c r="U13" i="11"/>
  <c r="L31" i="11" l="1"/>
  <c r="L32" i="11" s="1"/>
  <c r="P7" i="11"/>
  <c r="G5" i="11"/>
  <c r="G6" i="11" s="1"/>
  <c r="G8" i="11" s="1"/>
  <c r="G9" i="11" s="1"/>
  <c r="D4" i="9" l="1"/>
  <c r="D3" i="9"/>
  <c r="I34" i="7" l="1"/>
  <c r="I33" i="7"/>
  <c r="B16" i="2" l="1"/>
  <c r="C16" i="2"/>
</calcChain>
</file>

<file path=xl/sharedStrings.xml><?xml version="1.0" encoding="utf-8"?>
<sst xmlns="http://schemas.openxmlformats.org/spreadsheetml/2006/main" count="295" uniqueCount="108">
  <si>
    <t>S1</t>
  </si>
  <si>
    <t>S2</t>
  </si>
  <si>
    <t>S3</t>
  </si>
  <si>
    <t>Streams</t>
  </si>
  <si>
    <t>UnitOps</t>
  </si>
  <si>
    <t>Mw</t>
  </si>
  <si>
    <t>2 Component</t>
  </si>
  <si>
    <t>Methane</t>
  </si>
  <si>
    <t>Ethane</t>
  </si>
  <si>
    <t>S4</t>
  </si>
  <si>
    <t>S5</t>
  </si>
  <si>
    <t>k</t>
  </si>
  <si>
    <t>ratio</t>
  </si>
  <si>
    <t>Compositions</t>
  </si>
  <si>
    <t>Cp</t>
  </si>
  <si>
    <t>J/K/mol</t>
  </si>
  <si>
    <t>S6</t>
  </si>
  <si>
    <t>Gas</t>
  </si>
  <si>
    <t>Liquid</t>
  </si>
  <si>
    <t>Vfrac</t>
  </si>
  <si>
    <t>acentric </t>
  </si>
  <si>
    <t>Tc</t>
  </si>
  <si>
    <t>Pc</t>
  </si>
  <si>
    <t>Hvap</t>
  </si>
  <si>
    <t>RefState</t>
  </si>
  <si>
    <t>G</t>
  </si>
  <si>
    <t>J/mol</t>
  </si>
  <si>
    <t>StdLiqDens</t>
  </si>
  <si>
    <t>kg/m3</t>
  </si>
  <si>
    <t>MoleFrac</t>
  </si>
  <si>
    <t>P (Pa)</t>
  </si>
  <si>
    <t>T (K)</t>
  </si>
  <si>
    <t>F mass (kg/h)</t>
  </si>
  <si>
    <t>Ideal</t>
  </si>
  <si>
    <t>RefProp</t>
  </si>
  <si>
    <t>Current Version</t>
  </si>
  <si>
    <t>Release</t>
  </si>
  <si>
    <t>Development Release</t>
  </si>
  <si>
    <t>Structure Increment</t>
  </si>
  <si>
    <t>Module Increment</t>
  </si>
  <si>
    <t>Classes</t>
  </si>
  <si>
    <t>Component</t>
  </si>
  <si>
    <t>Version</t>
  </si>
  <si>
    <t>Description</t>
  </si>
  <si>
    <t>FlowSheet</t>
  </si>
  <si>
    <t>Heater</t>
  </si>
  <si>
    <t>IdealGas</t>
  </si>
  <si>
    <t>Mixer</t>
  </si>
  <si>
    <t>Phase</t>
  </si>
  <si>
    <t>RefProp_PP</t>
  </si>
  <si>
    <t>RefPropMethods</t>
  </si>
  <si>
    <t>Splitter</t>
  </si>
  <si>
    <t>Stream</t>
  </si>
  <si>
    <t>Trace</t>
  </si>
  <si>
    <t>Variable</t>
  </si>
  <si>
    <t>Base</t>
  </si>
  <si>
    <t>Property Packages</t>
  </si>
  <si>
    <t>Valve</t>
  </si>
  <si>
    <t>1.0</t>
  </si>
  <si>
    <t>Density (kg/m3)</t>
  </si>
  <si>
    <t>Name</t>
  </si>
  <si>
    <t>Vapour</t>
  </si>
  <si>
    <t>Property Package</t>
  </si>
  <si>
    <t>K</t>
  </si>
  <si>
    <t>Pa</t>
  </si>
  <si>
    <t>UnitOperations</t>
  </si>
  <si>
    <t>Type</t>
  </si>
  <si>
    <t>K Value</t>
  </si>
  <si>
    <t>OutletStream(s)</t>
  </si>
  <si>
    <t>InletStream(s)</t>
  </si>
  <si>
    <t>M1</t>
  </si>
  <si>
    <t>V1</t>
  </si>
  <si>
    <t>Sp1</t>
  </si>
  <si>
    <t>Ratio(s)</t>
  </si>
  <si>
    <t>S7</t>
  </si>
  <si>
    <t>Components</t>
  </si>
  <si>
    <t>Commandline Input</t>
  </si>
  <si>
    <t>TextFile Input</t>
  </si>
  <si>
    <t>rpm</t>
  </si>
  <si>
    <t>rps</t>
  </si>
  <si>
    <t>w</t>
  </si>
  <si>
    <t>rad/s</t>
  </si>
  <si>
    <t>r</t>
  </si>
  <si>
    <t>m</t>
  </si>
  <si>
    <t>a</t>
  </si>
  <si>
    <t>1 round is 2pi radians</t>
  </si>
  <si>
    <t>m/s</t>
  </si>
  <si>
    <t>m/s^2</t>
  </si>
  <si>
    <t>velocity</t>
  </si>
  <si>
    <t>density</t>
  </si>
  <si>
    <t>kg/s</t>
  </si>
  <si>
    <t>momentum</t>
  </si>
  <si>
    <t>(De)Activate Solver</t>
  </si>
  <si>
    <t>G force</t>
  </si>
  <si>
    <t>Solved?</t>
  </si>
  <si>
    <t>Find Component</t>
  </si>
  <si>
    <t>m3/h</t>
  </si>
  <si>
    <t>diameter</t>
  </si>
  <si>
    <t>height</t>
  </si>
  <si>
    <t>area</t>
  </si>
  <si>
    <t>volume</t>
  </si>
  <si>
    <t>put button to add stream</t>
  </si>
  <si>
    <t>Last command</t>
  </si>
  <si>
    <t>Output</t>
  </si>
  <si>
    <t>test</t>
  </si>
  <si>
    <t>Case Name</t>
  </si>
  <si>
    <t>New Case</t>
  </si>
  <si>
    <t>C:\Users\User\Desktop\TheSimulator\test.txt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</si>
</sst>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11" fontId="0" fillId="0" borderId="0" xfId="0" applyNumberFormat="1"/>
    <xf numFmtId="0" fontId="1" fillId="0" borderId="0" xfId="0" applyFont="1"/>
    <xf numFmtId="0" fontId="0" fillId="0" borderId="0" xfId="0" applyNumberFormat="1"/>
    <xf numFmtId="0" fontId="4" fillId="0" borderId="0" xfId="0" applyFont="1"/>
    <xf numFmtId="0" fontId="5" fillId="0" borderId="0" xfId="0" applyFont="1" applyFill="1"/>
    <xf numFmtId="0" fontId="5" fillId="0" borderId="0" xfId="0" applyFont="1"/>
    <xf numFmtId="11" fontId="3" fillId="0" borderId="1" xfId="0" applyNumberFormat="1" applyFont="1" applyBorder="1"/>
    <xf numFmtId="11" fontId="2" fillId="0" borderId="1" xfId="0" applyNumberFormat="1" applyFont="1" applyBorder="1"/>
    <xf numFmtId="0" fontId="7" fillId="0" borderId="1" xfId="0" applyFont="1" applyBorder="1"/>
    <xf numFmtId="0" fontId="7" fillId="2" borderId="1" xfId="0" applyFont="1" applyFill="1" applyBorder="1"/>
    <xf numFmtId="0" fontId="0" fillId="3" borderId="1" xfId="0" applyFont="1" applyFill="1" applyBorder="1"/>
    <xf numFmtId="0" fontId="8" fillId="2" borderId="1" xfId="0" applyFont="1" applyFill="1" applyBorder="1"/>
    <xf numFmtId="0" fontId="7" fillId="4" borderId="1" xfId="0" applyFont="1" applyFill="1" applyBorder="1"/>
    <xf numFmtId="164" fontId="2" fillId="0" borderId="1" xfId="0" applyNumberFormat="1" applyFont="1" applyBorder="1"/>
    <xf numFmtId="165" fontId="2" fillId="0" borderId="1" xfId="0" applyNumberFormat="1" applyFont="1" applyBorder="1"/>
    <xf numFmtId="164" fontId="3" fillId="0" borderId="1" xfId="0" applyNumberFormat="1" applyFont="1" applyBorder="1"/>
    <xf numFmtId="164" fontId="8" fillId="4" borderId="1" xfId="0" applyNumberFormat="1" applyFont="1" applyFill="1" applyBorder="1"/>
    <xf numFmtId="164" fontId="8" fillId="2" borderId="1" xfId="0" applyNumberFormat="1" applyFont="1" applyFill="1" applyBorder="1"/>
    <xf numFmtId="0" fontId="7" fillId="0" borderId="0" xfId="0" applyFon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7" fillId="3" borderId="1" xfId="0" applyFont="1" applyFill="1" applyBorder="1"/>
    <xf numFmtId="0" fontId="0" fillId="3" borderId="1" xfId="0" applyFill="1" applyBorder="1"/>
    <xf numFmtId="0" fontId="0" fillId="0" borderId="1" xfId="0" applyBorder="1"/>
    <xf numFmtId="0" fontId="7" fillId="0" borderId="0" xfId="0" applyFont="1" applyFill="1" applyBorder="1"/>
    <xf numFmtId="0" fontId="7" fillId="3" borderId="5" xfId="0" applyFont="1" applyFill="1" applyBorder="1"/>
    <xf numFmtId="0" fontId="0" fillId="3" borderId="3" xfId="0" applyFill="1" applyBorder="1"/>
    <xf numFmtId="0" fontId="0" fillId="4" borderId="3" xfId="0" applyFill="1" applyBorder="1"/>
    <xf numFmtId="0" fontId="0" fillId="4" borderId="4" xfId="0" applyFill="1" applyBorder="1"/>
    <xf numFmtId="0" fontId="7" fillId="3" borderId="6" xfId="0" applyFont="1" applyFill="1" applyBorder="1"/>
    <xf numFmtId="0" fontId="7" fillId="3" borderId="2" xfId="0" applyFont="1" applyFill="1" applyBorder="1"/>
    <xf numFmtId="0" fontId="7" fillId="0" borderId="2" xfId="0" applyFont="1" applyBorder="1"/>
    <xf numFmtId="0" fontId="7" fillId="4" borderId="2" xfId="0" applyFont="1" applyFill="1" applyBorder="1"/>
    <xf numFmtId="0" fontId="0" fillId="3" borderId="7" xfId="0" applyFill="1" applyBorder="1"/>
    <xf numFmtId="0" fontId="7" fillId="3" borderId="7" xfId="0" applyFont="1" applyFill="1" applyBorder="1"/>
    <xf numFmtId="0" fontId="0" fillId="3" borderId="8" xfId="0" applyFill="1" applyBorder="1"/>
    <xf numFmtId="0" fontId="0" fillId="3" borderId="9" xfId="0" applyFill="1" applyBorder="1"/>
    <xf numFmtId="0" fontId="7" fillId="4" borderId="3" xfId="0" applyFont="1" applyFill="1" applyBorder="1"/>
    <xf numFmtId="11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Sheet5!$S$12:$S$15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15</c:v>
                </c:pt>
              </c:numCache>
            </c:numRef>
          </c:xVal>
          <c:yVal>
            <c:numRef>
              <c:f>Sheet5!$T$12:$T$15</c:f>
              <c:numCache>
                <c:formatCode>General</c:formatCode>
                <c:ptCount val="4"/>
                <c:pt idx="0">
                  <c:v>88400</c:v>
                </c:pt>
                <c:pt idx="1">
                  <c:v>55400</c:v>
                </c:pt>
                <c:pt idx="2">
                  <c:v>45000</c:v>
                </c:pt>
                <c:pt idx="3">
                  <c:v>41200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89552"/>
        <c:axId val="192189944"/>
      </c:scatterChart>
      <c:valAx>
        <c:axId val="19218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89944"/>
        <c:crosses val="autoZero"/>
        <c:crossBetween val="midCat"/>
      </c:valAx>
      <c:valAx>
        <c:axId val="19218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8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16</xdr:row>
      <xdr:rowOff>19050</xdr:rowOff>
    </xdr:from>
    <xdr:to>
      <xdr:col>8</xdr:col>
      <xdr:colOff>581025</xdr:colOff>
      <xdr:row>16</xdr:row>
      <xdr:rowOff>47625</xdr:rowOff>
    </xdr:to>
    <xdr:cxnSp macro="">
      <xdr:nvCxnSpPr>
        <xdr:cNvPr id="3" name="Straight Arrow Connector 2"/>
        <xdr:cNvCxnSpPr/>
      </xdr:nvCxnSpPr>
      <xdr:spPr>
        <a:xfrm flipV="1">
          <a:off x="2247900" y="971550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14287</xdr:colOff>
      <xdr:row>15</xdr:row>
      <xdr:rowOff>61913</xdr:rowOff>
    </xdr:from>
    <xdr:to>
      <xdr:col>9</xdr:col>
      <xdr:colOff>233362</xdr:colOff>
      <xdr:row>16</xdr:row>
      <xdr:rowOff>176213</xdr:rowOff>
    </xdr:to>
    <xdr:sp macro="" textlink="">
      <xdr:nvSpPr>
        <xdr:cNvPr id="4" name="Isosceles Triangle 3"/>
        <xdr:cNvSpPr/>
      </xdr:nvSpPr>
      <xdr:spPr>
        <a:xfrm rot="5400000">
          <a:off x="3629025" y="866775"/>
          <a:ext cx="304800" cy="21907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233362</xdr:colOff>
      <xdr:row>15</xdr:row>
      <xdr:rowOff>42864</xdr:rowOff>
    </xdr:from>
    <xdr:to>
      <xdr:col>9</xdr:col>
      <xdr:colOff>452437</xdr:colOff>
      <xdr:row>16</xdr:row>
      <xdr:rowOff>157164</xdr:rowOff>
    </xdr:to>
    <xdr:sp macro="" textlink="">
      <xdr:nvSpPr>
        <xdr:cNvPr id="5" name="Isosceles Triangle 4"/>
        <xdr:cNvSpPr/>
      </xdr:nvSpPr>
      <xdr:spPr>
        <a:xfrm rot="16200000" flipH="1">
          <a:off x="3848100" y="847726"/>
          <a:ext cx="304800" cy="21907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419100</xdr:colOff>
      <xdr:row>15</xdr:row>
      <xdr:rowOff>180975</xdr:rowOff>
    </xdr:from>
    <xdr:to>
      <xdr:col>11</xdr:col>
      <xdr:colOff>581025</xdr:colOff>
      <xdr:row>16</xdr:row>
      <xdr:rowOff>19050</xdr:rowOff>
    </xdr:to>
    <xdr:cxnSp macro="">
      <xdr:nvCxnSpPr>
        <xdr:cNvPr id="6" name="Straight Arrow Connector 5"/>
        <xdr:cNvCxnSpPr/>
      </xdr:nvCxnSpPr>
      <xdr:spPr>
        <a:xfrm flipV="1">
          <a:off x="4076700" y="942975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419100</xdr:colOff>
      <xdr:row>12</xdr:row>
      <xdr:rowOff>123825</xdr:rowOff>
    </xdr:from>
    <xdr:to>
      <xdr:col>11</xdr:col>
      <xdr:colOff>581025</xdr:colOff>
      <xdr:row>14</xdr:row>
      <xdr:rowOff>28575</xdr:rowOff>
    </xdr:to>
    <xdr:cxnSp macro="">
      <xdr:nvCxnSpPr>
        <xdr:cNvPr id="7" name="Straight Arrow Connector 6"/>
        <xdr:cNvCxnSpPr/>
      </xdr:nvCxnSpPr>
      <xdr:spPr>
        <a:xfrm>
          <a:off x="4076700" y="314325"/>
          <a:ext cx="1381125" cy="2857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33339</xdr:colOff>
      <xdr:row>12</xdr:row>
      <xdr:rowOff>109538</xdr:rowOff>
    </xdr:from>
    <xdr:to>
      <xdr:col>12</xdr:col>
      <xdr:colOff>552449</xdr:colOff>
      <xdr:row>17</xdr:row>
      <xdr:rowOff>180978</xdr:rowOff>
    </xdr:to>
    <xdr:sp macro="" textlink="">
      <xdr:nvSpPr>
        <xdr:cNvPr id="8" name="Isosceles Triangle 7"/>
        <xdr:cNvSpPr/>
      </xdr:nvSpPr>
      <xdr:spPr>
        <a:xfrm rot="5400000">
          <a:off x="5267324" y="552453"/>
          <a:ext cx="1023940" cy="51911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438151</xdr:colOff>
      <xdr:row>12</xdr:row>
      <xdr:rowOff>104776</xdr:rowOff>
    </xdr:from>
    <xdr:to>
      <xdr:col>15</xdr:col>
      <xdr:colOff>476250</xdr:colOff>
      <xdr:row>17</xdr:row>
      <xdr:rowOff>133352</xdr:rowOff>
    </xdr:to>
    <xdr:sp macro="" textlink="">
      <xdr:nvSpPr>
        <xdr:cNvPr id="12" name="Isosceles Triangle 11"/>
        <xdr:cNvSpPr/>
      </xdr:nvSpPr>
      <xdr:spPr>
        <a:xfrm rot="16200000" flipH="1">
          <a:off x="6977063" y="461964"/>
          <a:ext cx="981076" cy="64769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304800</xdr:colOff>
      <xdr:row>15</xdr:row>
      <xdr:rowOff>38100</xdr:rowOff>
    </xdr:from>
    <xdr:to>
      <xdr:col>14</xdr:col>
      <xdr:colOff>466725</xdr:colOff>
      <xdr:row>15</xdr:row>
      <xdr:rowOff>66675</xdr:rowOff>
    </xdr:to>
    <xdr:cxnSp macro="">
      <xdr:nvCxnSpPr>
        <xdr:cNvPr id="13" name="Straight Arrow Connector 12"/>
        <xdr:cNvCxnSpPr/>
      </xdr:nvCxnSpPr>
      <xdr:spPr>
        <a:xfrm flipV="1">
          <a:off x="5791200" y="800100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485775</xdr:colOff>
      <xdr:row>13</xdr:row>
      <xdr:rowOff>19050</xdr:rowOff>
    </xdr:from>
    <xdr:to>
      <xdr:col>18</xdr:col>
      <xdr:colOff>38100</xdr:colOff>
      <xdr:row>13</xdr:row>
      <xdr:rowOff>47625</xdr:rowOff>
    </xdr:to>
    <xdr:cxnSp macro="">
      <xdr:nvCxnSpPr>
        <xdr:cNvPr id="14" name="Straight Arrow Connector 13"/>
        <xdr:cNvCxnSpPr/>
      </xdr:nvCxnSpPr>
      <xdr:spPr>
        <a:xfrm flipV="1">
          <a:off x="7800975" y="400050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468382</xdr:colOff>
      <xdr:row>16</xdr:row>
      <xdr:rowOff>142875</xdr:rowOff>
    </xdr:from>
    <xdr:to>
      <xdr:col>18</xdr:col>
      <xdr:colOff>20707</xdr:colOff>
      <xdr:row>16</xdr:row>
      <xdr:rowOff>171450</xdr:rowOff>
    </xdr:to>
    <xdr:cxnSp macro="">
      <xdr:nvCxnSpPr>
        <xdr:cNvPr id="15" name="Straight Arrow Connector 14"/>
        <xdr:cNvCxnSpPr/>
      </xdr:nvCxnSpPr>
      <xdr:spPr>
        <a:xfrm flipV="1">
          <a:off x="11119817" y="3190875"/>
          <a:ext cx="1391064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16</xdr:row>
          <xdr:rowOff>152400</xdr:rowOff>
        </xdr:from>
        <xdr:to>
          <xdr:col>5</xdr:col>
          <xdr:colOff>266700</xdr:colOff>
          <xdr:row>18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20</xdr:row>
          <xdr:rowOff>152400</xdr:rowOff>
        </xdr:from>
        <xdr:to>
          <xdr:col>5</xdr:col>
          <xdr:colOff>266700</xdr:colOff>
          <xdr:row>22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39</xdr:row>
      <xdr:rowOff>19050</xdr:rowOff>
    </xdr:from>
    <xdr:to>
      <xdr:col>13</xdr:col>
      <xdr:colOff>581025</xdr:colOff>
      <xdr:row>39</xdr:row>
      <xdr:rowOff>47625</xdr:rowOff>
    </xdr:to>
    <xdr:cxnSp macro="">
      <xdr:nvCxnSpPr>
        <xdr:cNvPr id="22" name="Straight Arrow Connector 21"/>
        <xdr:cNvCxnSpPr/>
      </xdr:nvCxnSpPr>
      <xdr:spPr>
        <a:xfrm flipV="1">
          <a:off x="4800600" y="3067050"/>
          <a:ext cx="1771650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14287</xdr:colOff>
      <xdr:row>38</xdr:row>
      <xdr:rowOff>61913</xdr:rowOff>
    </xdr:from>
    <xdr:to>
      <xdr:col>14</xdr:col>
      <xdr:colOff>233362</xdr:colOff>
      <xdr:row>39</xdr:row>
      <xdr:rowOff>176213</xdr:rowOff>
    </xdr:to>
    <xdr:sp macro="" textlink="">
      <xdr:nvSpPr>
        <xdr:cNvPr id="23" name="Isosceles Triangle 22"/>
        <xdr:cNvSpPr/>
      </xdr:nvSpPr>
      <xdr:spPr>
        <a:xfrm rot="5400000">
          <a:off x="6743700" y="2962275"/>
          <a:ext cx="304800" cy="21907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233362</xdr:colOff>
      <xdr:row>38</xdr:row>
      <xdr:rowOff>42864</xdr:rowOff>
    </xdr:from>
    <xdr:to>
      <xdr:col>14</xdr:col>
      <xdr:colOff>452437</xdr:colOff>
      <xdr:row>39</xdr:row>
      <xdr:rowOff>157164</xdr:rowOff>
    </xdr:to>
    <xdr:sp macro="" textlink="">
      <xdr:nvSpPr>
        <xdr:cNvPr id="24" name="Isosceles Triangle 23"/>
        <xdr:cNvSpPr/>
      </xdr:nvSpPr>
      <xdr:spPr>
        <a:xfrm rot="16200000" flipH="1">
          <a:off x="6962775" y="2943226"/>
          <a:ext cx="304800" cy="21907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419100</xdr:colOff>
      <xdr:row>38</xdr:row>
      <xdr:rowOff>180975</xdr:rowOff>
    </xdr:from>
    <xdr:to>
      <xdr:col>16</xdr:col>
      <xdr:colOff>581025</xdr:colOff>
      <xdr:row>39</xdr:row>
      <xdr:rowOff>19050</xdr:rowOff>
    </xdr:to>
    <xdr:cxnSp macro="">
      <xdr:nvCxnSpPr>
        <xdr:cNvPr id="25" name="Straight Arrow Connector 24"/>
        <xdr:cNvCxnSpPr/>
      </xdr:nvCxnSpPr>
      <xdr:spPr>
        <a:xfrm flipV="1">
          <a:off x="7191375" y="3038475"/>
          <a:ext cx="155257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514350</xdr:colOff>
      <xdr:row>37</xdr:row>
      <xdr:rowOff>28575</xdr:rowOff>
    </xdr:from>
    <xdr:to>
      <xdr:col>16</xdr:col>
      <xdr:colOff>581025</xdr:colOff>
      <xdr:row>37</xdr:row>
      <xdr:rowOff>28575</xdr:rowOff>
    </xdr:to>
    <xdr:cxnSp macro="">
      <xdr:nvCxnSpPr>
        <xdr:cNvPr id="26" name="Straight Arrow Connector 25"/>
        <xdr:cNvCxnSpPr/>
      </xdr:nvCxnSpPr>
      <xdr:spPr>
        <a:xfrm>
          <a:off x="11630025" y="7077075"/>
          <a:ext cx="12858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33339</xdr:colOff>
      <xdr:row>35</xdr:row>
      <xdr:rowOff>109538</xdr:rowOff>
    </xdr:from>
    <xdr:to>
      <xdr:col>17</xdr:col>
      <xdr:colOff>552449</xdr:colOff>
      <xdr:row>40</xdr:row>
      <xdr:rowOff>180978</xdr:rowOff>
    </xdr:to>
    <xdr:sp macro="" textlink="">
      <xdr:nvSpPr>
        <xdr:cNvPr id="27" name="Isosceles Triangle 26"/>
        <xdr:cNvSpPr/>
      </xdr:nvSpPr>
      <xdr:spPr>
        <a:xfrm rot="5400000">
          <a:off x="8553449" y="2647953"/>
          <a:ext cx="1023940" cy="51911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19</xdr:col>
      <xdr:colOff>438151</xdr:colOff>
      <xdr:row>35</xdr:row>
      <xdr:rowOff>104776</xdr:rowOff>
    </xdr:from>
    <xdr:to>
      <xdr:col>20</xdr:col>
      <xdr:colOff>476250</xdr:colOff>
      <xdr:row>40</xdr:row>
      <xdr:rowOff>133352</xdr:rowOff>
    </xdr:to>
    <xdr:sp macro="" textlink="">
      <xdr:nvSpPr>
        <xdr:cNvPr id="28" name="Isosceles Triangle 27"/>
        <xdr:cNvSpPr/>
      </xdr:nvSpPr>
      <xdr:spPr>
        <a:xfrm rot="16200000" flipH="1">
          <a:off x="10363200" y="2457452"/>
          <a:ext cx="981076" cy="847724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304800</xdr:colOff>
      <xdr:row>38</xdr:row>
      <xdr:rowOff>38100</xdr:rowOff>
    </xdr:from>
    <xdr:to>
      <xdr:col>19</xdr:col>
      <xdr:colOff>466725</xdr:colOff>
      <xdr:row>38</xdr:row>
      <xdr:rowOff>66675</xdr:rowOff>
    </xdr:to>
    <xdr:cxnSp macro="">
      <xdr:nvCxnSpPr>
        <xdr:cNvPr id="29" name="Straight Arrow Connector 28"/>
        <xdr:cNvCxnSpPr/>
      </xdr:nvCxnSpPr>
      <xdr:spPr>
        <a:xfrm flipV="1">
          <a:off x="9077325" y="2895600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485775</xdr:colOff>
      <xdr:row>36</xdr:row>
      <xdr:rowOff>19050</xdr:rowOff>
    </xdr:from>
    <xdr:to>
      <xdr:col>23</xdr:col>
      <xdr:colOff>38100</xdr:colOff>
      <xdr:row>36</xdr:row>
      <xdr:rowOff>47625</xdr:rowOff>
    </xdr:to>
    <xdr:cxnSp macro="">
      <xdr:nvCxnSpPr>
        <xdr:cNvPr id="30" name="Straight Arrow Connector 29"/>
        <xdr:cNvCxnSpPr/>
      </xdr:nvCxnSpPr>
      <xdr:spPr>
        <a:xfrm flipV="1">
          <a:off x="11287125" y="2495550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468382</xdr:colOff>
      <xdr:row>39</xdr:row>
      <xdr:rowOff>142875</xdr:rowOff>
    </xdr:from>
    <xdr:to>
      <xdr:col>23</xdr:col>
      <xdr:colOff>20707</xdr:colOff>
      <xdr:row>39</xdr:row>
      <xdr:rowOff>171450</xdr:rowOff>
    </xdr:to>
    <xdr:cxnSp macro="">
      <xdr:nvCxnSpPr>
        <xdr:cNvPr id="31" name="Straight Arrow Connector 30"/>
        <xdr:cNvCxnSpPr/>
      </xdr:nvCxnSpPr>
      <xdr:spPr>
        <a:xfrm flipV="1">
          <a:off x="11269732" y="3190875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37</xdr:row>
      <xdr:rowOff>19050</xdr:rowOff>
    </xdr:from>
    <xdr:to>
      <xdr:col>16</xdr:col>
      <xdr:colOff>581025</xdr:colOff>
      <xdr:row>37</xdr:row>
      <xdr:rowOff>47625</xdr:rowOff>
    </xdr:to>
    <xdr:cxnSp macro="">
      <xdr:nvCxnSpPr>
        <xdr:cNvPr id="2" name="Straight Arrow Connector 1"/>
        <xdr:cNvCxnSpPr/>
      </xdr:nvCxnSpPr>
      <xdr:spPr>
        <a:xfrm flipV="1">
          <a:off x="9705975" y="7448550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14287</xdr:colOff>
      <xdr:row>36</xdr:row>
      <xdr:rowOff>61913</xdr:rowOff>
    </xdr:from>
    <xdr:to>
      <xdr:col>17</xdr:col>
      <xdr:colOff>233362</xdr:colOff>
      <xdr:row>37</xdr:row>
      <xdr:rowOff>176213</xdr:rowOff>
    </xdr:to>
    <xdr:sp macro="" textlink="">
      <xdr:nvSpPr>
        <xdr:cNvPr id="3" name="Isosceles Triangle 2"/>
        <xdr:cNvSpPr/>
      </xdr:nvSpPr>
      <xdr:spPr>
        <a:xfrm rot="5400000">
          <a:off x="11087100" y="7343775"/>
          <a:ext cx="304800" cy="21907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233362</xdr:colOff>
      <xdr:row>36</xdr:row>
      <xdr:rowOff>42864</xdr:rowOff>
    </xdr:from>
    <xdr:to>
      <xdr:col>17</xdr:col>
      <xdr:colOff>452437</xdr:colOff>
      <xdr:row>37</xdr:row>
      <xdr:rowOff>157164</xdr:rowOff>
    </xdr:to>
    <xdr:sp macro="" textlink="">
      <xdr:nvSpPr>
        <xdr:cNvPr id="4" name="Isosceles Triangle 3"/>
        <xdr:cNvSpPr/>
      </xdr:nvSpPr>
      <xdr:spPr>
        <a:xfrm rot="16200000" flipH="1">
          <a:off x="11306175" y="7324726"/>
          <a:ext cx="304800" cy="21907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419100</xdr:colOff>
      <xdr:row>36</xdr:row>
      <xdr:rowOff>180975</xdr:rowOff>
    </xdr:from>
    <xdr:to>
      <xdr:col>19</xdr:col>
      <xdr:colOff>581025</xdr:colOff>
      <xdr:row>37</xdr:row>
      <xdr:rowOff>19050</xdr:rowOff>
    </xdr:to>
    <xdr:cxnSp macro="">
      <xdr:nvCxnSpPr>
        <xdr:cNvPr id="5" name="Straight Arrow Connector 4"/>
        <xdr:cNvCxnSpPr/>
      </xdr:nvCxnSpPr>
      <xdr:spPr>
        <a:xfrm flipV="1">
          <a:off x="11534775" y="7419975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419100</xdr:colOff>
      <xdr:row>33</xdr:row>
      <xdr:rowOff>123825</xdr:rowOff>
    </xdr:from>
    <xdr:to>
      <xdr:col>19</xdr:col>
      <xdr:colOff>581025</xdr:colOff>
      <xdr:row>35</xdr:row>
      <xdr:rowOff>28575</xdr:rowOff>
    </xdr:to>
    <xdr:cxnSp macro="">
      <xdr:nvCxnSpPr>
        <xdr:cNvPr id="6" name="Straight Arrow Connector 5"/>
        <xdr:cNvCxnSpPr/>
      </xdr:nvCxnSpPr>
      <xdr:spPr>
        <a:xfrm>
          <a:off x="11534775" y="6791325"/>
          <a:ext cx="1381125" cy="2857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33339</xdr:colOff>
      <xdr:row>33</xdr:row>
      <xdr:rowOff>109538</xdr:rowOff>
    </xdr:from>
    <xdr:to>
      <xdr:col>20</xdr:col>
      <xdr:colOff>552449</xdr:colOff>
      <xdr:row>38</xdr:row>
      <xdr:rowOff>180978</xdr:rowOff>
    </xdr:to>
    <xdr:sp macro="" textlink="">
      <xdr:nvSpPr>
        <xdr:cNvPr id="7" name="Isosceles Triangle 6"/>
        <xdr:cNvSpPr/>
      </xdr:nvSpPr>
      <xdr:spPr>
        <a:xfrm rot="5400000">
          <a:off x="12725399" y="7029453"/>
          <a:ext cx="1023940" cy="51911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22</xdr:col>
      <xdr:colOff>438151</xdr:colOff>
      <xdr:row>33</xdr:row>
      <xdr:rowOff>104776</xdr:rowOff>
    </xdr:from>
    <xdr:to>
      <xdr:col>23</xdr:col>
      <xdr:colOff>476250</xdr:colOff>
      <xdr:row>38</xdr:row>
      <xdr:rowOff>133352</xdr:rowOff>
    </xdr:to>
    <xdr:sp macro="" textlink="">
      <xdr:nvSpPr>
        <xdr:cNvPr id="8" name="Isosceles Triangle 7"/>
        <xdr:cNvSpPr/>
      </xdr:nvSpPr>
      <xdr:spPr>
        <a:xfrm rot="16200000" flipH="1">
          <a:off x="14435138" y="6938964"/>
          <a:ext cx="981076" cy="64769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20</xdr:col>
      <xdr:colOff>304800</xdr:colOff>
      <xdr:row>36</xdr:row>
      <xdr:rowOff>38100</xdr:rowOff>
    </xdr:from>
    <xdr:to>
      <xdr:col>22</xdr:col>
      <xdr:colOff>466725</xdr:colOff>
      <xdr:row>36</xdr:row>
      <xdr:rowOff>66675</xdr:rowOff>
    </xdr:to>
    <xdr:cxnSp macro="">
      <xdr:nvCxnSpPr>
        <xdr:cNvPr id="9" name="Straight Arrow Connector 8"/>
        <xdr:cNvCxnSpPr/>
      </xdr:nvCxnSpPr>
      <xdr:spPr>
        <a:xfrm flipV="1">
          <a:off x="13249275" y="7277100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485775</xdr:colOff>
      <xdr:row>34</xdr:row>
      <xdr:rowOff>19050</xdr:rowOff>
    </xdr:from>
    <xdr:to>
      <xdr:col>26</xdr:col>
      <xdr:colOff>38100</xdr:colOff>
      <xdr:row>34</xdr:row>
      <xdr:rowOff>47625</xdr:rowOff>
    </xdr:to>
    <xdr:cxnSp macro="">
      <xdr:nvCxnSpPr>
        <xdr:cNvPr id="10" name="Straight Arrow Connector 9"/>
        <xdr:cNvCxnSpPr/>
      </xdr:nvCxnSpPr>
      <xdr:spPr>
        <a:xfrm flipV="1">
          <a:off x="15259050" y="6877050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468382</xdr:colOff>
      <xdr:row>37</xdr:row>
      <xdr:rowOff>142875</xdr:rowOff>
    </xdr:from>
    <xdr:to>
      <xdr:col>26</xdr:col>
      <xdr:colOff>20707</xdr:colOff>
      <xdr:row>37</xdr:row>
      <xdr:rowOff>171450</xdr:rowOff>
    </xdr:to>
    <xdr:cxnSp macro="">
      <xdr:nvCxnSpPr>
        <xdr:cNvPr id="11" name="Straight Arrow Connector 10"/>
        <xdr:cNvCxnSpPr/>
      </xdr:nvCxnSpPr>
      <xdr:spPr>
        <a:xfrm flipV="1">
          <a:off x="15241657" y="7572375"/>
          <a:ext cx="1381125" cy="28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2</xdr:col>
          <xdr:colOff>1085850</xdr:colOff>
          <xdr:row>1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Input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266700</xdr:colOff>
      <xdr:row>15</xdr:row>
      <xdr:rowOff>185737</xdr:rowOff>
    </xdr:from>
    <xdr:to>
      <xdr:col>27</xdr:col>
      <xdr:colOff>571500</xdr:colOff>
      <xdr:row>30</xdr:row>
      <xdr:rowOff>71437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Q34"/>
  <sheetViews>
    <sheetView workbookViewId="0">
      <selection activeCell="D18" sqref="D18"/>
    </sheetView>
  </sheetViews>
  <sheetFormatPr defaultRowHeight="15" x14ac:dyDescent="0.25"/>
  <cols>
    <col min="2" max="2" width="17.85546875" customWidth="1"/>
    <col min="3" max="3" width="25.42578125" customWidth="1"/>
    <col min="4" max="4" width="24.7109375" customWidth="1"/>
    <col min="5" max="5" width="21.42578125" customWidth="1"/>
    <col min="15" max="15" width="20.5703125" customWidth="1"/>
  </cols>
  <sheetData>
    <row r="2" spans="2:17" x14ac:dyDescent="0.25">
      <c r="B2" t="s">
        <v>35</v>
      </c>
      <c r="C2">
        <v>0</v>
      </c>
      <c r="D2">
        <v>1</v>
      </c>
      <c r="E2">
        <v>0</v>
      </c>
      <c r="F2">
        <v>0</v>
      </c>
    </row>
    <row r="3" spans="2:17" x14ac:dyDescent="0.25">
      <c r="O3" t="s">
        <v>40</v>
      </c>
      <c r="P3" t="s">
        <v>42</v>
      </c>
      <c r="Q3" t="s">
        <v>43</v>
      </c>
    </row>
    <row r="4" spans="2:17" x14ac:dyDescent="0.25">
      <c r="O4" s="19" t="s">
        <v>55</v>
      </c>
    </row>
    <row r="5" spans="2:17" x14ac:dyDescent="0.25">
      <c r="B5" t="s">
        <v>36</v>
      </c>
      <c r="C5" t="s">
        <v>37</v>
      </c>
      <c r="D5" t="s">
        <v>38</v>
      </c>
      <c r="E5" t="s">
        <v>39</v>
      </c>
      <c r="O5" t="s">
        <v>41</v>
      </c>
      <c r="P5" s="20" t="s">
        <v>58</v>
      </c>
    </row>
    <row r="6" spans="2:17" x14ac:dyDescent="0.25">
      <c r="O6" t="s">
        <v>44</v>
      </c>
      <c r="P6" s="20" t="s">
        <v>58</v>
      </c>
    </row>
    <row r="7" spans="2:17" x14ac:dyDescent="0.25">
      <c r="O7" t="s">
        <v>48</v>
      </c>
      <c r="P7" s="20" t="s">
        <v>58</v>
      </c>
    </row>
    <row r="8" spans="2:17" x14ac:dyDescent="0.25">
      <c r="O8" t="s">
        <v>52</v>
      </c>
      <c r="P8" s="20" t="s">
        <v>58</v>
      </c>
    </row>
    <row r="9" spans="2:17" x14ac:dyDescent="0.25">
      <c r="O9" t="s">
        <v>53</v>
      </c>
      <c r="P9" s="20" t="s">
        <v>58</v>
      </c>
    </row>
    <row r="10" spans="2:17" x14ac:dyDescent="0.25">
      <c r="O10" t="s">
        <v>54</v>
      </c>
      <c r="P10" s="20" t="s">
        <v>58</v>
      </c>
    </row>
    <row r="11" spans="2:17" x14ac:dyDescent="0.25">
      <c r="O11" s="19" t="s">
        <v>4</v>
      </c>
      <c r="P11" s="21"/>
    </row>
    <row r="12" spans="2:17" x14ac:dyDescent="0.25">
      <c r="O12" t="s">
        <v>45</v>
      </c>
      <c r="P12" s="20" t="s">
        <v>58</v>
      </c>
    </row>
    <row r="13" spans="2:17" x14ac:dyDescent="0.25">
      <c r="O13" t="s">
        <v>47</v>
      </c>
      <c r="P13" s="20" t="s">
        <v>58</v>
      </c>
    </row>
    <row r="14" spans="2:17" x14ac:dyDescent="0.25">
      <c r="O14" t="s">
        <v>51</v>
      </c>
      <c r="P14" s="20" t="s">
        <v>58</v>
      </c>
    </row>
    <row r="15" spans="2:17" x14ac:dyDescent="0.25">
      <c r="O15" t="s">
        <v>57</v>
      </c>
      <c r="P15" s="20" t="s">
        <v>58</v>
      </c>
    </row>
    <row r="16" spans="2:17" x14ac:dyDescent="0.25">
      <c r="O16" s="19" t="s">
        <v>56</v>
      </c>
      <c r="P16" s="21"/>
    </row>
    <row r="17" spans="9:16" x14ac:dyDescent="0.25">
      <c r="O17" t="s">
        <v>46</v>
      </c>
      <c r="P17" s="20" t="s">
        <v>58</v>
      </c>
    </row>
    <row r="18" spans="9:16" x14ac:dyDescent="0.25">
      <c r="O18" t="s">
        <v>49</v>
      </c>
      <c r="P18" s="20" t="s">
        <v>58</v>
      </c>
    </row>
    <row r="19" spans="9:16" x14ac:dyDescent="0.25">
      <c r="O19" t="s">
        <v>50</v>
      </c>
      <c r="P19" s="20" t="s">
        <v>58</v>
      </c>
    </row>
    <row r="31" spans="9:16" x14ac:dyDescent="0.25">
      <c r="I31">
        <v>255</v>
      </c>
    </row>
    <row r="32" spans="9:16" x14ac:dyDescent="0.25">
      <c r="I32">
        <v>255</v>
      </c>
    </row>
    <row r="33" spans="9:9" x14ac:dyDescent="0.25">
      <c r="I33">
        <f>I32*I31</f>
        <v>65025</v>
      </c>
    </row>
    <row r="34" spans="9:9" x14ac:dyDescent="0.25">
      <c r="I34">
        <f>I33/2</f>
        <v>32512.5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2:XFD48"/>
  <sheetViews>
    <sheetView zoomScale="115" zoomScaleNormal="115" workbookViewId="0">
      <selection activeCell="G8" sqref="G8:T23"/>
    </sheetView>
  </sheetViews>
  <sheetFormatPr defaultRowHeight="15" x14ac:dyDescent="0.25"/>
  <cols>
    <col min="4" max="4" width="16" customWidth="1"/>
    <col min="5" max="5" width="11.7109375" bestFit="1" customWidth="1"/>
    <col min="6" max="6" width="10.5703125" bestFit="1" customWidth="1"/>
    <col min="7" max="7" width="12.42578125" bestFit="1" customWidth="1"/>
    <col min="8" max="10" width="11.7109375" bestFit="1" customWidth="1"/>
    <col min="15" max="15" width="12.140625" customWidth="1"/>
  </cols>
  <sheetData>
    <row r="12" spans="1:18" x14ac:dyDescent="0.25">
      <c r="K12" t="s">
        <v>2</v>
      </c>
      <c r="R12" t="s">
        <v>10</v>
      </c>
    </row>
    <row r="13" spans="1:18" x14ac:dyDescent="0.25">
      <c r="B13" t="s">
        <v>6</v>
      </c>
    </row>
    <row r="14" spans="1:18" x14ac:dyDescent="0.25">
      <c r="B14" t="s">
        <v>7</v>
      </c>
      <c r="C14" t="s">
        <v>8</v>
      </c>
    </row>
    <row r="15" spans="1:18" x14ac:dyDescent="0.25">
      <c r="A15" t="s">
        <v>5</v>
      </c>
      <c r="B15">
        <v>16</v>
      </c>
      <c r="C15">
        <v>30</v>
      </c>
      <c r="H15" t="s">
        <v>0</v>
      </c>
    </row>
    <row r="16" spans="1:18" x14ac:dyDescent="0.25">
      <c r="A16" t="s">
        <v>14</v>
      </c>
      <c r="B16" s="2">
        <f>39.3752062376881/B15*1000</f>
        <v>2460.9503898555063</v>
      </c>
      <c r="C16" s="2">
        <f>62.1/C15*1000</f>
        <v>2070</v>
      </c>
      <c r="D16" t="s">
        <v>15</v>
      </c>
    </row>
    <row r="17" spans="1:18 16384:16384" x14ac:dyDescent="0.25">
      <c r="A17" s="4" t="s">
        <v>21</v>
      </c>
      <c r="B17">
        <v>190.69900512695301</v>
      </c>
      <c r="C17">
        <v>305.42800903320301</v>
      </c>
      <c r="N17" t="s">
        <v>9</v>
      </c>
    </row>
    <row r="18" spans="1:18 16384:16384" x14ac:dyDescent="0.25">
      <c r="A18" t="s">
        <v>22</v>
      </c>
      <c r="B18">
        <v>4640680.17578125</v>
      </c>
      <c r="C18">
        <v>4883850.09765625</v>
      </c>
      <c r="K18" t="s">
        <v>1</v>
      </c>
    </row>
    <row r="19" spans="1:18 16384:16384" x14ac:dyDescent="0.25">
      <c r="A19" s="4" t="s">
        <v>20</v>
      </c>
      <c r="B19" s="1">
        <v>1.1498400010168599E-2</v>
      </c>
      <c r="C19" s="1">
        <v>9.8600000143051106E-2</v>
      </c>
      <c r="J19" t="s">
        <v>11</v>
      </c>
      <c r="P19" t="s">
        <v>12</v>
      </c>
      <c r="R19" t="s">
        <v>16</v>
      </c>
    </row>
    <row r="20" spans="1:18 16384:16384" x14ac:dyDescent="0.25">
      <c r="A20" t="s">
        <v>23</v>
      </c>
      <c r="B20">
        <v>8170</v>
      </c>
      <c r="C20">
        <v>14703</v>
      </c>
      <c r="D20" t="s">
        <v>26</v>
      </c>
    </row>
    <row r="21" spans="1:18 16384:16384" x14ac:dyDescent="0.25">
      <c r="A21" s="4" t="s">
        <v>24</v>
      </c>
      <c r="B21" t="s">
        <v>25</v>
      </c>
      <c r="C21" t="s">
        <v>25</v>
      </c>
    </row>
    <row r="22" spans="1:18 16384:16384" x14ac:dyDescent="0.25">
      <c r="A22" t="s">
        <v>27</v>
      </c>
      <c r="B22">
        <v>299.39401245117199</v>
      </c>
      <c r="C22" s="3">
        <v>355.68301391601602</v>
      </c>
      <c r="D22" t="s">
        <v>28</v>
      </c>
    </row>
    <row r="23" spans="1:18 16384:16384" x14ac:dyDescent="0.25">
      <c r="C23" s="1"/>
    </row>
    <row r="26" spans="1:18 16384:16384" x14ac:dyDescent="0.25">
      <c r="D26" s="11" t="s">
        <v>3</v>
      </c>
      <c r="E26" s="11" t="s">
        <v>0</v>
      </c>
      <c r="F26" s="11" t="s">
        <v>1</v>
      </c>
      <c r="G26" s="11" t="s">
        <v>2</v>
      </c>
      <c r="H26" s="11" t="s">
        <v>9</v>
      </c>
      <c r="I26" s="11" t="s">
        <v>10</v>
      </c>
      <c r="J26" s="11" t="s">
        <v>16</v>
      </c>
    </row>
    <row r="27" spans="1:18 16384:16384" x14ac:dyDescent="0.25">
      <c r="D27" s="9" t="s">
        <v>32</v>
      </c>
      <c r="E27" s="14">
        <v>2000</v>
      </c>
      <c r="F27" s="16">
        <v>2000</v>
      </c>
      <c r="G27" s="14">
        <v>3000</v>
      </c>
      <c r="H27" s="16">
        <v>5000</v>
      </c>
      <c r="I27" s="14">
        <v>2000</v>
      </c>
      <c r="J27" s="14">
        <v>3000</v>
      </c>
    </row>
    <row r="28" spans="1:18 16384:16384" x14ac:dyDescent="0.25">
      <c r="D28" s="9" t="s">
        <v>5</v>
      </c>
      <c r="E28" s="14">
        <v>24.4</v>
      </c>
      <c r="F28" s="14">
        <v>24.4</v>
      </c>
      <c r="G28" s="14">
        <v>22.152631578947371</v>
      </c>
      <c r="H28" s="14">
        <v>23</v>
      </c>
      <c r="I28" s="14">
        <v>23</v>
      </c>
      <c r="J28" s="14">
        <v>23</v>
      </c>
    </row>
    <row r="29" spans="1:18 16384:16384" x14ac:dyDescent="0.25">
      <c r="D29" s="9" t="s">
        <v>59</v>
      </c>
      <c r="E29" s="14">
        <v>442.46049726706462</v>
      </c>
      <c r="F29" s="14">
        <v>442.37738972056121</v>
      </c>
      <c r="G29" s="14">
        <v>271.88588714155316</v>
      </c>
      <c r="H29" s="14">
        <v>328.99804482493073</v>
      </c>
      <c r="I29" s="14">
        <v>328.99804482493073</v>
      </c>
      <c r="J29" s="14">
        <v>328.99804482493073</v>
      </c>
    </row>
    <row r="30" spans="1:18 16384:16384" x14ac:dyDescent="0.25">
      <c r="D30" s="9" t="s">
        <v>30</v>
      </c>
      <c r="E30" s="7">
        <v>1000000</v>
      </c>
      <c r="F30" s="8">
        <v>998995.51610326883</v>
      </c>
      <c r="G30" s="7">
        <v>1100000</v>
      </c>
      <c r="H30" s="8">
        <v>998995.51610326883</v>
      </c>
      <c r="I30" s="8">
        <v>998995.51610326883</v>
      </c>
      <c r="J30" s="8">
        <v>998995.51610326883</v>
      </c>
    </row>
    <row r="31" spans="1:18 16384:16384" x14ac:dyDescent="0.25">
      <c r="D31" s="9" t="s">
        <v>31</v>
      </c>
      <c r="E31" s="16">
        <v>175</v>
      </c>
      <c r="F31" s="14">
        <v>174.97835315071495</v>
      </c>
      <c r="G31" s="16">
        <v>180</v>
      </c>
      <c r="H31" s="14">
        <v>176.72025334286889</v>
      </c>
      <c r="I31" s="14">
        <v>176.72025334286889</v>
      </c>
      <c r="J31" s="14">
        <v>176.72025334286889</v>
      </c>
    </row>
    <row r="32" spans="1:18 16384:16384" ht="2.25" customHeight="1" x14ac:dyDescent="0.25">
      <c r="D32" s="13" t="s">
        <v>19</v>
      </c>
      <c r="E32" s="17" t="s">
        <v>19</v>
      </c>
      <c r="F32" s="17" t="s">
        <v>19</v>
      </c>
      <c r="G32" s="17" t="s">
        <v>19</v>
      </c>
      <c r="H32" s="17" t="s">
        <v>19</v>
      </c>
      <c r="I32" s="17" t="s">
        <v>19</v>
      </c>
      <c r="J32" s="17" t="s">
        <v>19</v>
      </c>
      <c r="XFD32" s="10" t="s">
        <v>19</v>
      </c>
    </row>
    <row r="33" spans="3:19" x14ac:dyDescent="0.25">
      <c r="D33" s="9" t="s">
        <v>7</v>
      </c>
      <c r="E33" s="14">
        <v>0.4</v>
      </c>
      <c r="F33" s="16">
        <v>0.4</v>
      </c>
      <c r="G33" s="14">
        <v>0.56052631578947376</v>
      </c>
      <c r="H33" s="16">
        <v>0.5</v>
      </c>
      <c r="I33" s="14">
        <v>0.5</v>
      </c>
      <c r="J33" s="14">
        <v>0.5</v>
      </c>
      <c r="N33" t="s">
        <v>19</v>
      </c>
    </row>
    <row r="34" spans="3:19" x14ac:dyDescent="0.25">
      <c r="D34" s="9" t="s">
        <v>8</v>
      </c>
      <c r="E34" s="14">
        <v>0.6</v>
      </c>
      <c r="F34" s="16">
        <v>0.6</v>
      </c>
      <c r="G34" s="14">
        <v>0.43947368421052641</v>
      </c>
      <c r="H34" s="16">
        <v>0.5</v>
      </c>
      <c r="I34" s="14">
        <v>0.5</v>
      </c>
      <c r="J34" s="14">
        <v>0.5</v>
      </c>
      <c r="N34" s="11" t="s">
        <v>0</v>
      </c>
      <c r="O34" s="11" t="s">
        <v>1</v>
      </c>
      <c r="P34" s="11" t="s">
        <v>2</v>
      </c>
      <c r="Q34" s="11" t="s">
        <v>9</v>
      </c>
      <c r="R34" s="11" t="s">
        <v>10</v>
      </c>
      <c r="S34" s="11" t="s">
        <v>16</v>
      </c>
    </row>
    <row r="35" spans="3:19" ht="3" customHeight="1" x14ac:dyDescent="0.25">
      <c r="D35" s="12" t="s">
        <v>19</v>
      </c>
      <c r="E35" s="18" t="s">
        <v>19</v>
      </c>
      <c r="F35" s="18" t="s">
        <v>19</v>
      </c>
      <c r="G35" s="18" t="s">
        <v>19</v>
      </c>
      <c r="H35" s="18" t="s">
        <v>19</v>
      </c>
      <c r="I35" s="18" t="s">
        <v>19</v>
      </c>
      <c r="J35" s="18" t="s">
        <v>19</v>
      </c>
    </row>
    <row r="36" spans="3:19" x14ac:dyDescent="0.25">
      <c r="C36" s="5" t="s">
        <v>17</v>
      </c>
      <c r="D36" s="9" t="s">
        <v>29</v>
      </c>
      <c r="E36" s="14">
        <v>7.9772918913994295E-2</v>
      </c>
      <c r="F36" s="14">
        <v>7.9989099953825304E-2</v>
      </c>
      <c r="G36" s="14">
        <v>0.38081665510905305</v>
      </c>
      <c r="H36" s="14">
        <v>0.27683564367815205</v>
      </c>
      <c r="I36" s="14">
        <v>0.27683564367815205</v>
      </c>
      <c r="J36" s="14">
        <v>0.27683564367815205</v>
      </c>
      <c r="M36" t="s">
        <v>33</v>
      </c>
      <c r="N36" s="14">
        <v>0.1014404296875</v>
      </c>
      <c r="O36" s="14">
        <v>0.10205078125</v>
      </c>
      <c r="P36" s="14">
        <v>0.390625</v>
      </c>
      <c r="Q36" s="14">
        <v>0.3045654296875</v>
      </c>
      <c r="R36" s="14">
        <v>0.3045654296875</v>
      </c>
      <c r="S36" s="14">
        <v>0.3045654296875</v>
      </c>
    </row>
    <row r="37" spans="3:19" x14ac:dyDescent="0.25">
      <c r="D37" s="9" t="s">
        <v>5</v>
      </c>
      <c r="E37" s="15">
        <v>16.764797798613344</v>
      </c>
      <c r="F37" s="15">
        <v>16.764517496899281</v>
      </c>
      <c r="G37" s="15">
        <v>16.96180157592925</v>
      </c>
      <c r="H37" s="15">
        <v>16.861857991938898</v>
      </c>
      <c r="I37" s="15">
        <v>16.861857991938898</v>
      </c>
      <c r="J37" s="15">
        <v>16.861857991938898</v>
      </c>
      <c r="M37" t="s">
        <v>34</v>
      </c>
      <c r="N37" s="14">
        <v>7.9772918914000956E-2</v>
      </c>
      <c r="O37" s="14">
        <v>7.998909995382919E-2</v>
      </c>
      <c r="P37" s="14">
        <v>0.38081665510905305</v>
      </c>
      <c r="Q37" s="14">
        <v>0.27683564367814972</v>
      </c>
      <c r="R37" s="14">
        <v>0.27683564367814972</v>
      </c>
      <c r="S37" s="14">
        <v>0.27683564367814972</v>
      </c>
    </row>
    <row r="38" spans="3:19" x14ac:dyDescent="0.25">
      <c r="D38" s="9" t="s">
        <v>59</v>
      </c>
      <c r="E38" s="15">
        <v>13.000113006800103</v>
      </c>
      <c r="F38" s="15">
        <v>12.987192777782013</v>
      </c>
      <c r="G38" s="15">
        <v>14.143462509542871</v>
      </c>
      <c r="H38" s="15">
        <v>12.903558847979076</v>
      </c>
      <c r="I38" s="15">
        <v>12.903558847979076</v>
      </c>
      <c r="J38" s="15">
        <v>12.903558847979076</v>
      </c>
    </row>
    <row r="39" spans="3:19" ht="2.25" customHeight="1" x14ac:dyDescent="0.25">
      <c r="D39" s="9" t="s">
        <v>13</v>
      </c>
      <c r="E39" s="14">
        <v>-32767</v>
      </c>
      <c r="F39" s="14">
        <v>-32767</v>
      </c>
      <c r="G39" s="14">
        <v>-32767</v>
      </c>
      <c r="H39" s="14">
        <v>-32767</v>
      </c>
      <c r="I39" s="14">
        <v>-32767</v>
      </c>
      <c r="J39" s="14">
        <v>-32767</v>
      </c>
    </row>
    <row r="40" spans="3:19" x14ac:dyDescent="0.25">
      <c r="D40" s="9" t="s">
        <v>7</v>
      </c>
      <c r="E40" s="14">
        <v>0.94537158581333258</v>
      </c>
      <c r="F40" s="14">
        <v>0.94539160736433692</v>
      </c>
      <c r="G40" s="14">
        <v>0.93129988743362535</v>
      </c>
      <c r="H40" s="14">
        <v>0.93843871486150765</v>
      </c>
      <c r="I40" s="14">
        <v>0.93843871486150765</v>
      </c>
      <c r="J40" s="14">
        <v>0.93843871486150765</v>
      </c>
    </row>
    <row r="41" spans="3:19" x14ac:dyDescent="0.25">
      <c r="D41" s="9" t="s">
        <v>8</v>
      </c>
      <c r="E41" s="14">
        <v>5.462841418666739E-2</v>
      </c>
      <c r="F41" s="14">
        <v>5.4608392635662965E-2</v>
      </c>
      <c r="G41" s="14">
        <v>6.8700112566374802E-2</v>
      </c>
      <c r="H41" s="14">
        <v>6.1561285138492454E-2</v>
      </c>
      <c r="I41" s="14">
        <v>6.1561285138492454E-2</v>
      </c>
      <c r="J41" s="14">
        <v>6.1561285138492454E-2</v>
      </c>
    </row>
    <row r="42" spans="3:19" ht="3" customHeight="1" x14ac:dyDescent="0.25">
      <c r="D42" s="12" t="s">
        <v>19</v>
      </c>
      <c r="E42" s="18" t="s">
        <v>19</v>
      </c>
      <c r="F42" s="18" t="s">
        <v>19</v>
      </c>
      <c r="G42" s="18" t="s">
        <v>19</v>
      </c>
      <c r="H42" s="18" t="s">
        <v>19</v>
      </c>
      <c r="I42" s="18" t="s">
        <v>19</v>
      </c>
      <c r="J42" s="18" t="s">
        <v>19</v>
      </c>
    </row>
    <row r="43" spans="3:19" x14ac:dyDescent="0.25">
      <c r="C43" s="6" t="s">
        <v>18</v>
      </c>
      <c r="D43" s="9" t="s">
        <v>29</v>
      </c>
      <c r="E43" s="14">
        <v>0.9202270810860057</v>
      </c>
      <c r="F43" s="14">
        <v>0.9200109000461747</v>
      </c>
      <c r="G43" s="14">
        <v>0.61918334489094695</v>
      </c>
      <c r="H43" s="14">
        <v>0.72316435632184795</v>
      </c>
      <c r="I43" s="14">
        <v>0.72316435632184795</v>
      </c>
      <c r="J43" s="14">
        <v>0.72316435632184795</v>
      </c>
    </row>
    <row r="44" spans="3:19" x14ac:dyDescent="0.25">
      <c r="D44" s="9" t="s">
        <v>5</v>
      </c>
      <c r="E44" s="15">
        <v>25.061882686177057</v>
      </c>
      <c r="F44" s="15">
        <v>25.063856674562569</v>
      </c>
      <c r="G44" s="15">
        <v>25.345150494422949</v>
      </c>
      <c r="H44" s="15">
        <v>25.349751455332896</v>
      </c>
      <c r="I44" s="15">
        <v>25.349751455332896</v>
      </c>
      <c r="J44" s="15">
        <v>25.349751455332896</v>
      </c>
    </row>
    <row r="45" spans="3:19" ht="15" customHeight="1" x14ac:dyDescent="0.25">
      <c r="D45" s="9" t="s">
        <v>59</v>
      </c>
      <c r="E45" s="15">
        <v>492.17473849513431</v>
      </c>
      <c r="F45" s="15">
        <v>492.23345643841259</v>
      </c>
      <c r="G45" s="15">
        <v>489.38736605841746</v>
      </c>
      <c r="H45" s="15">
        <v>493.99446846598335</v>
      </c>
      <c r="I45" s="15">
        <v>493.99446846598335</v>
      </c>
      <c r="J45" s="15">
        <v>493.99446846598335</v>
      </c>
    </row>
    <row r="46" spans="3:19" ht="1.5" customHeight="1" x14ac:dyDescent="0.25">
      <c r="D46" s="9" t="s">
        <v>13</v>
      </c>
      <c r="E46" s="14">
        <v>-32767</v>
      </c>
      <c r="F46" s="14">
        <v>-32767</v>
      </c>
      <c r="G46" s="14">
        <v>-32767</v>
      </c>
      <c r="H46" s="14">
        <v>-32767</v>
      </c>
      <c r="I46" s="14">
        <v>-32767</v>
      </c>
      <c r="J46" s="14">
        <v>-32767</v>
      </c>
    </row>
    <row r="47" spans="3:19" x14ac:dyDescent="0.25">
      <c r="D47" s="9" t="s">
        <v>7</v>
      </c>
      <c r="E47" s="14">
        <v>0.35272266527306728</v>
      </c>
      <c r="F47" s="14">
        <v>0.35258166610267377</v>
      </c>
      <c r="G47" s="14">
        <v>0.33248925039836075</v>
      </c>
      <c r="H47" s="14">
        <v>0.33216061033336436</v>
      </c>
      <c r="I47" s="14">
        <v>0.33216061033336436</v>
      </c>
      <c r="J47" s="14">
        <v>0.33216061033336436</v>
      </c>
    </row>
    <row r="48" spans="3:19" x14ac:dyDescent="0.25">
      <c r="D48" s="9" t="s">
        <v>8</v>
      </c>
      <c r="E48" s="14">
        <v>0.64727733472693272</v>
      </c>
      <c r="F48" s="14">
        <v>0.64741833389732628</v>
      </c>
      <c r="G48" s="14">
        <v>0.66751074960163925</v>
      </c>
      <c r="H48" s="14">
        <v>0.66783938966663559</v>
      </c>
      <c r="I48" s="14">
        <v>0.66783938966663559</v>
      </c>
      <c r="J48" s="14">
        <v>0.66783938966663559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4</xdr:col>
                    <xdr:colOff>66675</xdr:colOff>
                    <xdr:row>16</xdr:row>
                    <xdr:rowOff>152400</xdr:rowOff>
                  </from>
                  <to>
                    <xdr:col>5</xdr:col>
                    <xdr:colOff>266700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66675</xdr:colOff>
                    <xdr:row>20</xdr:row>
                    <xdr:rowOff>152400</xdr:rowOff>
                  </from>
                  <to>
                    <xdr:col>5</xdr:col>
                    <xdr:colOff>266700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W42"/>
  <sheetViews>
    <sheetView topLeftCell="A7" workbookViewId="0">
      <selection activeCell="E28" sqref="E28"/>
    </sheetView>
  </sheetViews>
  <sheetFormatPr defaultRowHeight="15" x14ac:dyDescent="0.25"/>
  <cols>
    <col min="1" max="1" width="19.140625" customWidth="1"/>
    <col min="2" max="2" width="14.7109375" customWidth="1"/>
    <col min="3" max="3" width="15.140625" customWidth="1"/>
    <col min="4" max="8" width="12.5703125" customWidth="1"/>
  </cols>
  <sheetData>
    <row r="2" spans="1:11" x14ac:dyDescent="0.25">
      <c r="A2" t="s">
        <v>62</v>
      </c>
    </row>
    <row r="3" spans="1:11" x14ac:dyDescent="0.25">
      <c r="A3" t="s">
        <v>75</v>
      </c>
    </row>
    <row r="10" spans="1:11" x14ac:dyDescent="0.25">
      <c r="A10" s="19" t="s">
        <v>3</v>
      </c>
      <c r="E10">
        <v>2</v>
      </c>
    </row>
    <row r="11" spans="1:11" x14ac:dyDescent="0.25">
      <c r="A11" s="19"/>
      <c r="E11">
        <v>2</v>
      </c>
    </row>
    <row r="12" spans="1:11" s="22" customFormat="1" x14ac:dyDescent="0.25">
      <c r="A12" s="23" t="s">
        <v>60</v>
      </c>
      <c r="B12" s="24" t="s">
        <v>0</v>
      </c>
      <c r="C12" s="24" t="s">
        <v>1</v>
      </c>
      <c r="D12" s="24" t="s">
        <v>2</v>
      </c>
      <c r="E12" s="24" t="s">
        <v>9</v>
      </c>
      <c r="F12" s="24" t="s">
        <v>10</v>
      </c>
      <c r="G12" s="24" t="s">
        <v>16</v>
      </c>
      <c r="H12" s="24" t="s">
        <v>74</v>
      </c>
      <c r="I12"/>
      <c r="J12"/>
      <c r="K12"/>
    </row>
    <row r="13" spans="1:11" s="22" customFormat="1" x14ac:dyDescent="0.25">
      <c r="A13" s="9" t="s">
        <v>30</v>
      </c>
      <c r="B13" s="25"/>
      <c r="C13" s="25"/>
      <c r="D13" s="25"/>
      <c r="E13" s="25">
        <v>2</v>
      </c>
      <c r="F13" s="25"/>
      <c r="G13" s="25"/>
      <c r="H13" s="25"/>
      <c r="I13"/>
      <c r="J13"/>
      <c r="K13"/>
    </row>
    <row r="14" spans="1:11" s="22" customFormat="1" x14ac:dyDescent="0.25">
      <c r="A14" s="9" t="s">
        <v>31</v>
      </c>
      <c r="B14" s="25"/>
      <c r="C14" s="25"/>
      <c r="D14" s="25"/>
      <c r="E14" s="25">
        <v>2</v>
      </c>
      <c r="F14" s="25"/>
      <c r="G14" s="25"/>
      <c r="H14" s="25"/>
      <c r="I14"/>
      <c r="J14"/>
      <c r="K14"/>
    </row>
    <row r="15" spans="1:11" x14ac:dyDescent="0.25">
      <c r="A15" s="9" t="s">
        <v>32</v>
      </c>
      <c r="B15" s="25"/>
      <c r="C15" s="25"/>
      <c r="D15" s="25"/>
      <c r="E15" s="25">
        <v>2</v>
      </c>
      <c r="F15" s="25"/>
      <c r="G15" s="25"/>
      <c r="H15" s="25"/>
    </row>
    <row r="16" spans="1:11" x14ac:dyDescent="0.25">
      <c r="A16" s="9" t="s">
        <v>5</v>
      </c>
      <c r="B16" s="25"/>
      <c r="C16" s="25"/>
      <c r="D16" s="25"/>
      <c r="E16" s="25"/>
      <c r="F16" s="25"/>
      <c r="G16" s="25"/>
      <c r="H16" s="25"/>
    </row>
    <row r="17" spans="1:11" x14ac:dyDescent="0.25">
      <c r="A17" s="9" t="s">
        <v>59</v>
      </c>
      <c r="B17" s="25"/>
      <c r="C17" s="25"/>
      <c r="D17" s="25"/>
      <c r="E17" s="25">
        <v>2</v>
      </c>
      <c r="F17" s="25"/>
      <c r="G17" s="25"/>
      <c r="H17" s="25"/>
    </row>
    <row r="18" spans="1:11" x14ac:dyDescent="0.25">
      <c r="A18" s="13" t="s">
        <v>19</v>
      </c>
      <c r="B18" s="25"/>
      <c r="C18" s="25"/>
      <c r="D18" s="25"/>
      <c r="E18" s="25">
        <v>2</v>
      </c>
      <c r="F18" s="25"/>
      <c r="G18" s="25"/>
      <c r="H18" s="25"/>
    </row>
    <row r="19" spans="1:11" x14ac:dyDescent="0.25">
      <c r="A19" s="9" t="s">
        <v>7</v>
      </c>
      <c r="B19" s="25"/>
      <c r="C19" s="25"/>
      <c r="D19" s="25"/>
      <c r="E19" s="25"/>
      <c r="F19" s="25"/>
      <c r="G19" s="25"/>
      <c r="H19" s="25"/>
    </row>
    <row r="20" spans="1:11" x14ac:dyDescent="0.25">
      <c r="A20" s="9" t="s">
        <v>8</v>
      </c>
      <c r="B20" s="25"/>
      <c r="C20" s="25"/>
      <c r="D20" s="25"/>
      <c r="E20" s="25"/>
      <c r="F20" s="25"/>
      <c r="G20" s="25"/>
      <c r="H20" s="25"/>
    </row>
    <row r="21" spans="1:11" s="22" customFormat="1" x14ac:dyDescent="0.25">
      <c r="A21" s="23" t="s">
        <v>61</v>
      </c>
      <c r="B21" s="24"/>
      <c r="C21" s="24"/>
      <c r="D21" s="24"/>
      <c r="E21" s="24"/>
      <c r="F21" s="24"/>
      <c r="G21" s="24"/>
      <c r="H21" s="24"/>
      <c r="I21"/>
      <c r="J21"/>
      <c r="K21"/>
    </row>
    <row r="22" spans="1:11" x14ac:dyDescent="0.25">
      <c r="A22" s="9" t="s">
        <v>29</v>
      </c>
      <c r="B22" s="25"/>
      <c r="C22" s="25"/>
      <c r="D22" s="25"/>
      <c r="E22" s="25"/>
      <c r="F22" s="25"/>
      <c r="G22" s="25"/>
      <c r="H22" s="25"/>
    </row>
    <row r="23" spans="1:11" x14ac:dyDescent="0.25">
      <c r="A23" s="9" t="s">
        <v>5</v>
      </c>
      <c r="B23" s="25"/>
      <c r="C23" s="25"/>
      <c r="D23" s="25"/>
      <c r="E23" s="25"/>
      <c r="F23" s="25"/>
      <c r="G23" s="25"/>
      <c r="H23" s="25"/>
    </row>
    <row r="24" spans="1:11" x14ac:dyDescent="0.25">
      <c r="A24" s="9" t="s">
        <v>59</v>
      </c>
      <c r="B24" s="25"/>
      <c r="C24" s="25"/>
      <c r="D24" s="25"/>
      <c r="E24" s="25"/>
      <c r="F24" s="25"/>
      <c r="G24" s="25"/>
      <c r="H24" s="25"/>
    </row>
    <row r="25" spans="1:11" x14ac:dyDescent="0.25">
      <c r="A25" s="9" t="s">
        <v>13</v>
      </c>
      <c r="B25" s="25"/>
      <c r="C25" s="25"/>
      <c r="D25" s="25"/>
      <c r="E25" s="25"/>
      <c r="F25" s="25"/>
      <c r="G25" s="25"/>
      <c r="H25" s="25"/>
    </row>
    <row r="26" spans="1:11" x14ac:dyDescent="0.25">
      <c r="A26" s="9" t="s">
        <v>7</v>
      </c>
      <c r="B26" s="25"/>
      <c r="C26" s="25"/>
      <c r="D26" s="25"/>
      <c r="E26" s="25"/>
      <c r="F26" s="25"/>
      <c r="G26" s="25"/>
      <c r="H26" s="25"/>
    </row>
    <row r="27" spans="1:11" x14ac:dyDescent="0.25">
      <c r="A27" s="9" t="s">
        <v>8</v>
      </c>
      <c r="B27" s="25"/>
      <c r="C27" s="25"/>
      <c r="D27" s="25"/>
      <c r="E27" s="25"/>
      <c r="F27" s="25"/>
      <c r="G27" s="25"/>
      <c r="H27" s="25"/>
    </row>
    <row r="28" spans="1:11" s="22" customFormat="1" x14ac:dyDescent="0.25">
      <c r="A28" s="23" t="s">
        <v>18</v>
      </c>
      <c r="B28" s="24"/>
      <c r="C28" s="24"/>
      <c r="D28" s="24"/>
      <c r="E28" s="24"/>
      <c r="F28" s="24"/>
      <c r="G28" s="24"/>
      <c r="H28" s="24"/>
      <c r="I28"/>
      <c r="J28"/>
      <c r="K28"/>
    </row>
    <row r="29" spans="1:11" x14ac:dyDescent="0.25">
      <c r="A29" s="9" t="s">
        <v>29</v>
      </c>
      <c r="B29" s="25"/>
      <c r="C29" s="25"/>
      <c r="D29" s="25"/>
      <c r="E29" s="25"/>
      <c r="F29" s="25"/>
      <c r="G29" s="25"/>
      <c r="H29" s="25"/>
    </row>
    <row r="30" spans="1:11" x14ac:dyDescent="0.25">
      <c r="A30" s="9" t="s">
        <v>5</v>
      </c>
      <c r="B30" s="25"/>
      <c r="C30" s="25"/>
      <c r="D30" s="25"/>
      <c r="E30" s="25"/>
      <c r="F30" s="25"/>
      <c r="G30" s="25"/>
      <c r="H30" s="25"/>
    </row>
    <row r="31" spans="1:11" x14ac:dyDescent="0.25">
      <c r="A31" s="9" t="s">
        <v>59</v>
      </c>
      <c r="B31" s="25"/>
      <c r="C31" s="25"/>
      <c r="D31" s="25"/>
      <c r="E31" s="25"/>
      <c r="F31" s="25"/>
      <c r="G31" s="25"/>
      <c r="H31" s="25"/>
    </row>
    <row r="32" spans="1:11" x14ac:dyDescent="0.25">
      <c r="A32" s="9" t="s">
        <v>13</v>
      </c>
      <c r="B32" s="25"/>
      <c r="C32" s="25"/>
      <c r="D32" s="25"/>
      <c r="E32" s="25"/>
      <c r="F32" s="25"/>
      <c r="G32" s="25"/>
      <c r="H32" s="25"/>
    </row>
    <row r="33" spans="1:23" x14ac:dyDescent="0.25">
      <c r="A33" s="9" t="s">
        <v>7</v>
      </c>
      <c r="B33" s="25"/>
      <c r="C33" s="25"/>
      <c r="D33" s="25"/>
      <c r="E33" s="25"/>
      <c r="F33" s="25"/>
      <c r="G33" s="25"/>
      <c r="H33" s="25"/>
    </row>
    <row r="34" spans="1:23" x14ac:dyDescent="0.25">
      <c r="A34" s="9" t="s">
        <v>8</v>
      </c>
      <c r="B34" s="25"/>
      <c r="C34" s="25"/>
      <c r="D34" s="25"/>
      <c r="E34" s="25"/>
      <c r="F34" s="25"/>
      <c r="G34" s="25"/>
      <c r="H34" s="25"/>
    </row>
    <row r="35" spans="1:23" x14ac:dyDescent="0.25">
      <c r="W35" t="s">
        <v>10</v>
      </c>
    </row>
    <row r="36" spans="1:23" x14ac:dyDescent="0.25">
      <c r="A36" s="19"/>
      <c r="P36" t="s">
        <v>2</v>
      </c>
    </row>
    <row r="37" spans="1:23" x14ac:dyDescent="0.25">
      <c r="A37" s="26" t="s">
        <v>65</v>
      </c>
    </row>
    <row r="38" spans="1:23" x14ac:dyDescent="0.25">
      <c r="A38" s="23" t="s">
        <v>60</v>
      </c>
      <c r="B38" s="25" t="s">
        <v>71</v>
      </c>
      <c r="C38" s="23" t="s">
        <v>60</v>
      </c>
      <c r="D38" s="25" t="s">
        <v>70</v>
      </c>
      <c r="E38" s="23" t="s">
        <v>60</v>
      </c>
      <c r="F38" s="25" t="s">
        <v>72</v>
      </c>
      <c r="M38" t="s">
        <v>0</v>
      </c>
    </row>
    <row r="39" spans="1:23" x14ac:dyDescent="0.25">
      <c r="A39" s="23" t="s">
        <v>66</v>
      </c>
      <c r="B39" s="25" t="s">
        <v>57</v>
      </c>
      <c r="C39" s="23" t="s">
        <v>66</v>
      </c>
      <c r="D39" s="25" t="s">
        <v>47</v>
      </c>
      <c r="E39" s="23" t="s">
        <v>66</v>
      </c>
      <c r="F39" s="25" t="s">
        <v>51</v>
      </c>
    </row>
    <row r="40" spans="1:23" x14ac:dyDescent="0.25">
      <c r="A40" s="23" t="s">
        <v>69</v>
      </c>
      <c r="B40" s="25"/>
      <c r="C40" s="23" t="s">
        <v>69</v>
      </c>
      <c r="D40" s="25"/>
      <c r="E40" s="23" t="s">
        <v>69</v>
      </c>
      <c r="F40" s="25"/>
      <c r="S40" t="s">
        <v>9</v>
      </c>
    </row>
    <row r="41" spans="1:23" x14ac:dyDescent="0.25">
      <c r="A41" s="23" t="s">
        <v>68</v>
      </c>
      <c r="B41" s="25"/>
      <c r="C41" s="23" t="s">
        <v>68</v>
      </c>
      <c r="D41" s="25"/>
      <c r="E41" s="23" t="s">
        <v>68</v>
      </c>
      <c r="F41" s="25"/>
      <c r="P41" t="s">
        <v>1</v>
      </c>
    </row>
    <row r="42" spans="1:23" x14ac:dyDescent="0.25">
      <c r="A42" s="23" t="s">
        <v>67</v>
      </c>
      <c r="B42" s="25"/>
      <c r="E42" s="23" t="s">
        <v>73</v>
      </c>
      <c r="F42" s="25"/>
      <c r="O42" t="s">
        <v>11</v>
      </c>
      <c r="U42" t="s">
        <v>12</v>
      </c>
      <c r="W42" t="s">
        <v>16</v>
      </c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J4"/>
  <sheetViews>
    <sheetView workbookViewId="0"/>
  </sheetViews>
  <sheetFormatPr defaultRowHeight="15" x14ac:dyDescent="0.25"/>
  <cols>
    <col min="2" max="3" width="9.85546875" customWidth="1"/>
    <col min="8" max="8" width="9.7109375" customWidth="1"/>
  </cols>
  <sheetData>
    <row r="1" spans="2:10" x14ac:dyDescent="0.25">
      <c r="D1" t="s">
        <v>15</v>
      </c>
      <c r="E1" t="s">
        <v>63</v>
      </c>
      <c r="F1" t="s">
        <v>64</v>
      </c>
      <c r="H1" t="s">
        <v>26</v>
      </c>
      <c r="J1" t="s">
        <v>28</v>
      </c>
    </row>
    <row r="2" spans="2:10" x14ac:dyDescent="0.25">
      <c r="B2" t="s">
        <v>60</v>
      </c>
      <c r="C2" t="s">
        <v>5</v>
      </c>
      <c r="D2" t="s">
        <v>14</v>
      </c>
      <c r="E2" s="4" t="s">
        <v>21</v>
      </c>
      <c r="F2" t="s">
        <v>22</v>
      </c>
      <c r="G2" s="4" t="s">
        <v>20</v>
      </c>
      <c r="H2" t="s">
        <v>23</v>
      </c>
      <c r="I2" s="4" t="s">
        <v>24</v>
      </c>
      <c r="J2" t="s">
        <v>27</v>
      </c>
    </row>
    <row r="3" spans="2:10" x14ac:dyDescent="0.25">
      <c r="B3" t="s">
        <v>7</v>
      </c>
      <c r="C3">
        <v>16</v>
      </c>
      <c r="D3" s="2">
        <f>39.3752062376881/C3*1000</f>
        <v>2460.9503898555063</v>
      </c>
      <c r="E3">
        <v>190.69900512695301</v>
      </c>
      <c r="F3">
        <v>4640680.17578125</v>
      </c>
      <c r="G3" s="1">
        <v>1.1498400010168599E-2</v>
      </c>
      <c r="H3">
        <v>8170</v>
      </c>
      <c r="I3" t="s">
        <v>25</v>
      </c>
      <c r="J3">
        <v>299.39401245117199</v>
      </c>
    </row>
    <row r="4" spans="2:10" x14ac:dyDescent="0.25">
      <c r="B4" t="s">
        <v>8</v>
      </c>
      <c r="C4">
        <v>30</v>
      </c>
      <c r="D4" s="2">
        <f>62.1/C4*1000</f>
        <v>2070</v>
      </c>
      <c r="E4">
        <v>305.42800903320301</v>
      </c>
      <c r="F4">
        <v>4883850.09765625</v>
      </c>
      <c r="G4" s="1">
        <v>9.8600000143051106E-2</v>
      </c>
      <c r="H4">
        <v>14703</v>
      </c>
      <c r="I4" t="s">
        <v>25</v>
      </c>
      <c r="J4" s="3">
        <v>355.68301391601602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40"/>
  <sheetViews>
    <sheetView tabSelected="1" workbookViewId="0">
      <selection activeCell="D6" sqref="D6"/>
    </sheetView>
  </sheetViews>
  <sheetFormatPr defaultRowHeight="15" x14ac:dyDescent="0.25"/>
  <cols>
    <col min="1" max="1" width="19.7109375" customWidth="1"/>
    <col min="2" max="2" width="32.42578125" customWidth="1"/>
    <col min="3" max="3" width="16.5703125" style="28" customWidth="1"/>
    <col min="4" max="11" width="16.28515625" customWidth="1"/>
  </cols>
  <sheetData>
    <row r="1" spans="1:11" x14ac:dyDescent="0.25">
      <c r="A1" s="23" t="s">
        <v>105</v>
      </c>
      <c r="B1" t="s">
        <v>104</v>
      </c>
      <c r="C1" t="s">
        <v>106</v>
      </c>
    </row>
    <row r="2" spans="1:11" x14ac:dyDescent="0.25">
      <c r="A2" s="23" t="s">
        <v>77</v>
      </c>
      <c r="B2" t="s">
        <v>107</v>
      </c>
    </row>
    <row r="3" spans="1:11" x14ac:dyDescent="0.25">
      <c r="A3" s="23" t="s">
        <v>76</v>
      </c>
      <c r="C3" s="28" t="s">
        <v>102</v>
      </c>
    </row>
    <row r="4" spans="1:11" ht="15.75" customHeight="1" x14ac:dyDescent="0.25">
      <c r="A4" s="23" t="s">
        <v>103</v>
      </c>
    </row>
    <row r="6" spans="1:11" x14ac:dyDescent="0.25">
      <c r="D6" t="s">
        <v>92</v>
      </c>
    </row>
    <row r="7" spans="1:11" x14ac:dyDescent="0.25">
      <c r="D7" t="s">
        <v>94</v>
      </c>
    </row>
    <row r="8" spans="1:11" x14ac:dyDescent="0.25">
      <c r="D8" s="19" t="s">
        <v>3</v>
      </c>
    </row>
    <row r="9" spans="1:11" s="22" customFormat="1" x14ac:dyDescent="0.25">
      <c r="A9" s="27" t="s">
        <v>62</v>
      </c>
      <c r="B9" s="25"/>
      <c r="C9" s="28"/>
      <c r="D9" s="32" t="s">
        <v>60</v>
      </c>
      <c r="E9" s="24" t="s">
        <v>0</v>
      </c>
      <c r="F9" s="24" t="s">
        <v>1</v>
      </c>
      <c r="G9" s="24" t="s">
        <v>2</v>
      </c>
      <c r="H9" s="24" t="s">
        <v>9</v>
      </c>
      <c r="I9" s="24" t="s">
        <v>10</v>
      </c>
      <c r="J9" s="24" t="s">
        <v>16</v>
      </c>
      <c r="K9" s="24" t="s">
        <v>74</v>
      </c>
    </row>
    <row r="10" spans="1:11" x14ac:dyDescent="0.25">
      <c r="A10" s="27" t="s">
        <v>95</v>
      </c>
      <c r="B10" s="25"/>
      <c r="C10" s="38"/>
      <c r="D10" s="33" t="s">
        <v>30</v>
      </c>
      <c r="E10" s="40">
        <v>1000000</v>
      </c>
      <c r="F10" s="25"/>
      <c r="G10" s="25"/>
      <c r="H10" s="25"/>
      <c r="I10" s="25"/>
      <c r="J10" s="25"/>
      <c r="K10" s="25"/>
    </row>
    <row r="11" spans="1:11" x14ac:dyDescent="0.25">
      <c r="A11" s="31" t="s">
        <v>75</v>
      </c>
      <c r="B11" s="29"/>
      <c r="C11" s="38"/>
      <c r="D11" s="33" t="s">
        <v>31</v>
      </c>
      <c r="E11" s="25">
        <v>180</v>
      </c>
      <c r="F11" s="25"/>
      <c r="G11" s="25"/>
      <c r="H11" s="25"/>
      <c r="I11" s="25"/>
      <c r="J11" s="25"/>
      <c r="K11" s="25"/>
    </row>
    <row r="12" spans="1:11" x14ac:dyDescent="0.25">
      <c r="A12" s="35"/>
      <c r="B12" s="29"/>
      <c r="C12" s="38"/>
      <c r="D12" s="34" t="s">
        <v>19</v>
      </c>
      <c r="E12" s="25">
        <v>-32767</v>
      </c>
      <c r="F12" s="25"/>
      <c r="G12" s="25"/>
      <c r="H12" s="25"/>
      <c r="I12" s="25"/>
      <c r="J12" s="25"/>
      <c r="K12" s="25"/>
    </row>
    <row r="13" spans="1:11" x14ac:dyDescent="0.25">
      <c r="A13" s="35"/>
      <c r="B13" s="29"/>
      <c r="C13" s="38"/>
      <c r="D13" s="33" t="s">
        <v>32</v>
      </c>
      <c r="E13" s="25">
        <v>101</v>
      </c>
      <c r="F13" s="25"/>
      <c r="G13" s="25"/>
      <c r="H13" s="25"/>
      <c r="I13" s="25"/>
      <c r="J13" s="25"/>
      <c r="K13" s="25"/>
    </row>
    <row r="14" spans="1:11" x14ac:dyDescent="0.25">
      <c r="A14" s="35"/>
      <c r="B14" s="29"/>
      <c r="C14" s="38"/>
      <c r="D14" s="33" t="s">
        <v>5</v>
      </c>
      <c r="E14" s="25">
        <v>21.6</v>
      </c>
      <c r="F14" s="25"/>
      <c r="G14" s="25"/>
      <c r="H14" s="25"/>
      <c r="I14" s="25"/>
      <c r="J14" s="25"/>
      <c r="K14" s="25"/>
    </row>
    <row r="15" spans="1:11" x14ac:dyDescent="0.25">
      <c r="A15" s="35"/>
      <c r="B15" s="29"/>
      <c r="C15" s="38"/>
      <c r="D15" s="33" t="s">
        <v>59</v>
      </c>
      <c r="E15" s="25">
        <v>160.90763627140242</v>
      </c>
      <c r="F15" s="25"/>
      <c r="G15" s="25"/>
      <c r="H15" s="25"/>
      <c r="I15" s="25"/>
      <c r="J15" s="25"/>
      <c r="K15" s="25"/>
    </row>
    <row r="16" spans="1:11" x14ac:dyDescent="0.25">
      <c r="A16" s="35"/>
      <c r="B16" s="29"/>
      <c r="C16" s="38"/>
      <c r="D16" s="33" t="s">
        <v>13</v>
      </c>
      <c r="E16" s="25"/>
      <c r="F16" s="25"/>
      <c r="G16" s="25"/>
      <c r="H16" s="25"/>
      <c r="I16" s="25"/>
      <c r="J16" s="25"/>
      <c r="K16" s="25"/>
    </row>
    <row r="17" spans="1:11" x14ac:dyDescent="0.25">
      <c r="A17" s="35"/>
      <c r="B17" s="29"/>
      <c r="C17" s="38"/>
      <c r="D17" s="33" t="s">
        <v>7</v>
      </c>
      <c r="E17" s="25">
        <v>0.6</v>
      </c>
      <c r="F17" s="25"/>
      <c r="G17" s="25"/>
      <c r="H17" s="25"/>
      <c r="I17" s="25"/>
      <c r="J17" s="25"/>
      <c r="K17" s="25"/>
    </row>
    <row r="18" spans="1:11" x14ac:dyDescent="0.25">
      <c r="A18" s="36"/>
      <c r="B18" s="39"/>
      <c r="C18" s="38"/>
      <c r="D18" s="33" t="s">
        <v>8</v>
      </c>
      <c r="E18" s="25">
        <v>0.4</v>
      </c>
      <c r="F18" s="25"/>
      <c r="G18" s="25"/>
      <c r="H18" s="25"/>
      <c r="I18" s="25"/>
      <c r="J18" s="25"/>
      <c r="K18" s="25"/>
    </row>
    <row r="19" spans="1:11" s="22" customFormat="1" x14ac:dyDescent="0.25">
      <c r="A19" s="35"/>
      <c r="B19" s="29"/>
      <c r="C19" s="38"/>
      <c r="D19" s="32" t="s">
        <v>61</v>
      </c>
      <c r="E19" s="24"/>
      <c r="F19" s="24"/>
      <c r="G19" s="24"/>
      <c r="H19" s="24"/>
      <c r="I19" s="24"/>
      <c r="J19" s="24"/>
      <c r="K19" s="24"/>
    </row>
    <row r="20" spans="1:11" x14ac:dyDescent="0.25">
      <c r="A20" s="35"/>
      <c r="B20" s="29"/>
      <c r="C20" s="38"/>
      <c r="D20" s="33" t="s">
        <v>29</v>
      </c>
      <c r="E20" s="25">
        <v>0.4827880859375</v>
      </c>
      <c r="F20" s="25"/>
      <c r="G20" s="25"/>
      <c r="H20" s="25"/>
      <c r="I20" s="25"/>
      <c r="J20" s="25"/>
      <c r="K20" s="25"/>
    </row>
    <row r="21" spans="1:11" x14ac:dyDescent="0.25">
      <c r="A21" s="35"/>
      <c r="B21" s="29"/>
      <c r="C21" s="38"/>
      <c r="D21" s="33" t="s">
        <v>5</v>
      </c>
      <c r="E21" s="25">
        <v>16.805867840934962</v>
      </c>
      <c r="F21" s="25"/>
      <c r="G21" s="25"/>
      <c r="H21" s="25"/>
      <c r="I21" s="25"/>
      <c r="J21" s="25"/>
      <c r="K21" s="25"/>
    </row>
    <row r="22" spans="1:11" x14ac:dyDescent="0.25">
      <c r="A22" s="35"/>
      <c r="B22" s="29"/>
      <c r="C22" s="38"/>
      <c r="D22" s="33" t="s">
        <v>59</v>
      </c>
      <c r="E22" s="25">
        <v>11.229965413716464</v>
      </c>
      <c r="F22" s="25"/>
      <c r="G22" s="25"/>
      <c r="H22" s="25"/>
      <c r="I22" s="25"/>
      <c r="J22" s="25"/>
      <c r="K22" s="25"/>
    </row>
    <row r="23" spans="1:11" x14ac:dyDescent="0.25">
      <c r="A23" s="35"/>
      <c r="B23" s="29"/>
      <c r="C23" s="38"/>
      <c r="D23" s="33" t="s">
        <v>13</v>
      </c>
      <c r="E23" s="25"/>
      <c r="F23" s="25"/>
      <c r="G23" s="25"/>
      <c r="H23" s="25"/>
      <c r="I23" s="25"/>
      <c r="J23" s="25"/>
      <c r="K23" s="25"/>
    </row>
    <row r="24" spans="1:11" x14ac:dyDescent="0.25">
      <c r="A24" s="35"/>
      <c r="B24" s="29"/>
      <c r="C24" s="38"/>
      <c r="D24" s="33" t="s">
        <v>7</v>
      </c>
      <c r="E24" s="25">
        <v>0.94234345449001489</v>
      </c>
      <c r="F24" s="25"/>
      <c r="G24" s="25"/>
      <c r="H24" s="25"/>
      <c r="I24" s="25"/>
      <c r="J24" s="25"/>
      <c r="K24" s="25"/>
    </row>
    <row r="25" spans="1:11" x14ac:dyDescent="0.25">
      <c r="A25" s="36"/>
      <c r="B25" s="39"/>
      <c r="C25" s="38"/>
      <c r="D25" s="33" t="s">
        <v>8</v>
      </c>
      <c r="E25" s="25">
        <v>5.7612418969824143E-2</v>
      </c>
      <c r="F25" s="25"/>
      <c r="G25" s="25"/>
      <c r="H25" s="25"/>
      <c r="I25" s="25"/>
      <c r="J25" s="25"/>
      <c r="K25" s="25"/>
    </row>
    <row r="26" spans="1:11" s="22" customFormat="1" x14ac:dyDescent="0.25">
      <c r="A26" s="35"/>
      <c r="B26" s="29"/>
      <c r="C26" s="38"/>
      <c r="D26" s="32" t="s">
        <v>18</v>
      </c>
      <c r="E26" s="24"/>
      <c r="F26" s="24"/>
      <c r="G26" s="24"/>
      <c r="H26" s="24"/>
      <c r="I26" s="24"/>
      <c r="J26" s="24"/>
      <c r="K26" s="24"/>
    </row>
    <row r="27" spans="1:11" x14ac:dyDescent="0.25">
      <c r="A27" s="35"/>
      <c r="B27" s="29"/>
      <c r="C27" s="38"/>
      <c r="D27" s="33" t="s">
        <v>29</v>
      </c>
      <c r="E27" s="25">
        <v>0.5172119140625</v>
      </c>
      <c r="F27" s="25"/>
      <c r="G27" s="25"/>
      <c r="H27" s="25"/>
      <c r="I27" s="25"/>
      <c r="J27" s="25"/>
      <c r="K27" s="25"/>
    </row>
    <row r="28" spans="1:11" x14ac:dyDescent="0.25">
      <c r="A28" s="35"/>
      <c r="B28" s="29"/>
      <c r="C28" s="38"/>
      <c r="D28" s="33" t="s">
        <v>5</v>
      </c>
      <c r="E28" s="25">
        <v>26.075051378121838</v>
      </c>
      <c r="F28" s="25"/>
      <c r="G28" s="25"/>
      <c r="H28" s="25"/>
      <c r="I28" s="25"/>
      <c r="J28" s="25"/>
      <c r="K28" s="25"/>
    </row>
    <row r="29" spans="1:11" x14ac:dyDescent="0.25">
      <c r="A29" s="35"/>
      <c r="B29" s="29"/>
      <c r="C29" s="38"/>
      <c r="D29" s="33" t="s">
        <v>59</v>
      </c>
      <c r="E29" s="25">
        <v>359.29607166621088</v>
      </c>
      <c r="F29" s="25"/>
      <c r="G29" s="25"/>
      <c r="H29" s="25"/>
      <c r="I29" s="25"/>
      <c r="J29" s="25"/>
      <c r="K29" s="25"/>
    </row>
    <row r="30" spans="1:11" x14ac:dyDescent="0.25">
      <c r="A30" s="35"/>
      <c r="B30" s="29"/>
      <c r="C30" s="38"/>
      <c r="D30" s="33" t="s">
        <v>13</v>
      </c>
      <c r="E30" s="25"/>
      <c r="F30" s="25"/>
      <c r="G30" s="25"/>
      <c r="H30" s="25"/>
      <c r="I30" s="25"/>
      <c r="J30" s="25"/>
      <c r="K30" s="25"/>
    </row>
    <row r="31" spans="1:11" x14ac:dyDescent="0.25">
      <c r="A31" s="37"/>
      <c r="B31" s="30"/>
      <c r="C31" s="38"/>
      <c r="D31" s="33" t="s">
        <v>7</v>
      </c>
      <c r="E31" s="25">
        <v>0.28044173648619086</v>
      </c>
      <c r="F31" s="25"/>
      <c r="G31" s="25"/>
      <c r="H31" s="25"/>
      <c r="I31" s="25"/>
      <c r="J31" s="25"/>
      <c r="K31" s="25"/>
    </row>
    <row r="32" spans="1:11" x14ac:dyDescent="0.25">
      <c r="D32" s="33" t="s">
        <v>8</v>
      </c>
      <c r="E32" s="25">
        <v>0.71959945314475948</v>
      </c>
      <c r="F32" s="25"/>
      <c r="G32" s="25"/>
      <c r="H32" s="25"/>
      <c r="I32" s="25"/>
      <c r="J32" s="25"/>
      <c r="K32" s="25"/>
    </row>
    <row r="33" spans="4:26" x14ac:dyDescent="0.25">
      <c r="S33" t="s">
        <v>2</v>
      </c>
      <c r="Z33" t="s">
        <v>10</v>
      </c>
    </row>
    <row r="34" spans="4:26" x14ac:dyDescent="0.25">
      <c r="D34" s="19"/>
    </row>
    <row r="35" spans="4:26" x14ac:dyDescent="0.25">
      <c r="D35" s="26" t="s">
        <v>65</v>
      </c>
      <c r="F35" t="s">
        <v>101</v>
      </c>
    </row>
    <row r="36" spans="4:26" x14ac:dyDescent="0.25">
      <c r="D36" s="32" t="s">
        <v>60</v>
      </c>
      <c r="E36" s="25" t="s">
        <v>71</v>
      </c>
      <c r="F36" s="23" t="s">
        <v>60</v>
      </c>
      <c r="G36" s="25" t="s">
        <v>70</v>
      </c>
      <c r="H36" s="23" t="s">
        <v>60</v>
      </c>
      <c r="I36" s="25" t="s">
        <v>72</v>
      </c>
      <c r="P36" t="s">
        <v>0</v>
      </c>
    </row>
    <row r="37" spans="4:26" x14ac:dyDescent="0.25">
      <c r="D37" s="32" t="s">
        <v>66</v>
      </c>
      <c r="E37" s="25" t="s">
        <v>57</v>
      </c>
      <c r="F37" s="23" t="s">
        <v>66</v>
      </c>
      <c r="G37" s="25" t="s">
        <v>57</v>
      </c>
      <c r="H37" s="23" t="s">
        <v>66</v>
      </c>
      <c r="I37" s="25" t="s">
        <v>57</v>
      </c>
    </row>
    <row r="38" spans="4:26" x14ac:dyDescent="0.25">
      <c r="D38" s="32" t="s">
        <v>69</v>
      </c>
      <c r="E38" s="25"/>
      <c r="F38" s="23" t="s">
        <v>69</v>
      </c>
      <c r="G38" s="25"/>
      <c r="H38" s="23" t="s">
        <v>69</v>
      </c>
      <c r="I38" s="25"/>
      <c r="V38" t="s">
        <v>9</v>
      </c>
    </row>
    <row r="39" spans="4:26" x14ac:dyDescent="0.25">
      <c r="D39" s="32" t="s">
        <v>68</v>
      </c>
      <c r="E39" s="25"/>
      <c r="F39" s="23" t="s">
        <v>68</v>
      </c>
      <c r="G39" s="25"/>
      <c r="H39" s="23" t="s">
        <v>68</v>
      </c>
      <c r="I39" s="25"/>
      <c r="S39" t="s">
        <v>1</v>
      </c>
    </row>
    <row r="40" spans="4:26" x14ac:dyDescent="0.25">
      <c r="D40" s="32" t="s">
        <v>67</v>
      </c>
      <c r="E40" s="25"/>
      <c r="H40" s="23" t="s">
        <v>73</v>
      </c>
      <c r="I40" s="25"/>
      <c r="R40" t="s">
        <v>11</v>
      </c>
      <c r="X40" t="s">
        <v>12</v>
      </c>
      <c r="Z40" t="s">
        <v>16</v>
      </c>
    </row>
  </sheetData>
  <dataConsolidate/>
  <dataValidations count="1">
    <dataValidation type="list" allowBlank="1" showInputMessage="1" showErrorMessage="1" sqref="C3">
      <formula1>"Last command,text"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2_Click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2</xdr:col>
                    <xdr:colOff>1085850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2"/>
  <sheetViews>
    <sheetView workbookViewId="0">
      <selection sqref="A1:A2"/>
    </sheetView>
  </sheetViews>
  <sheetFormatPr defaultRowHeight="15" x14ac:dyDescent="0.25"/>
  <sheetData>
    <row r="1" spans="1:21" x14ac:dyDescent="0.25">
      <c r="A1">
        <v>23</v>
      </c>
      <c r="B1">
        <v>505</v>
      </c>
    </row>
    <row r="2" spans="1:21" x14ac:dyDescent="0.25">
      <c r="A2">
        <v>23</v>
      </c>
    </row>
    <row r="4" spans="1:21" x14ac:dyDescent="0.25">
      <c r="G4">
        <v>6000</v>
      </c>
      <c r="H4" t="s">
        <v>78</v>
      </c>
      <c r="J4" t="s">
        <v>85</v>
      </c>
    </row>
    <row r="5" spans="1:21" x14ac:dyDescent="0.25">
      <c r="G5">
        <f>G4/60</f>
        <v>100</v>
      </c>
      <c r="H5" t="s">
        <v>79</v>
      </c>
      <c r="O5" t="s">
        <v>88</v>
      </c>
      <c r="P5">
        <v>2</v>
      </c>
      <c r="Q5" t="s">
        <v>86</v>
      </c>
    </row>
    <row r="6" spans="1:21" x14ac:dyDescent="0.25">
      <c r="F6" t="s">
        <v>80</v>
      </c>
      <c r="G6">
        <f>2*PI()*G5</f>
        <v>628.31853071795865</v>
      </c>
      <c r="H6" t="s">
        <v>81</v>
      </c>
      <c r="O6" t="s">
        <v>89</v>
      </c>
      <c r="P6">
        <v>900</v>
      </c>
      <c r="Q6" t="s">
        <v>90</v>
      </c>
    </row>
    <row r="7" spans="1:21" x14ac:dyDescent="0.25">
      <c r="F7" t="s">
        <v>82</v>
      </c>
      <c r="G7">
        <v>0.15</v>
      </c>
      <c r="H7" t="s">
        <v>83</v>
      </c>
      <c r="O7" t="s">
        <v>91</v>
      </c>
      <c r="P7">
        <f>P6*P5</f>
        <v>1800</v>
      </c>
    </row>
    <row r="8" spans="1:21" x14ac:dyDescent="0.25">
      <c r="F8" t="s">
        <v>84</v>
      </c>
      <c r="G8">
        <f>G7*G6^2</f>
        <v>59217.626406536147</v>
      </c>
      <c r="H8" t="s">
        <v>87</v>
      </c>
    </row>
    <row r="9" spans="1:21" x14ac:dyDescent="0.25">
      <c r="F9" t="s">
        <v>93</v>
      </c>
      <c r="G9">
        <f>G8/9.81</f>
        <v>6036.455291186151</v>
      </c>
    </row>
    <row r="12" spans="1:21" x14ac:dyDescent="0.25">
      <c r="S12">
        <v>0</v>
      </c>
      <c r="T12">
        <v>88400</v>
      </c>
    </row>
    <row r="13" spans="1:21" x14ac:dyDescent="0.25">
      <c r="S13">
        <v>2</v>
      </c>
      <c r="T13">
        <v>55400</v>
      </c>
      <c r="U13">
        <f>T13/T12</f>
        <v>0.62669683257918551</v>
      </c>
    </row>
    <row r="14" spans="1:21" x14ac:dyDescent="0.25">
      <c r="S14">
        <v>5</v>
      </c>
      <c r="T14">
        <v>45000</v>
      </c>
    </row>
    <row r="15" spans="1:21" x14ac:dyDescent="0.25">
      <c r="S15">
        <v>15</v>
      </c>
      <c r="T15">
        <v>41200</v>
      </c>
    </row>
    <row r="24" spans="11:12" x14ac:dyDescent="0.25">
      <c r="K24">
        <v>24</v>
      </c>
      <c r="L24" t="s">
        <v>96</v>
      </c>
    </row>
    <row r="25" spans="11:12" x14ac:dyDescent="0.25">
      <c r="K25">
        <f>K24*3</f>
        <v>72</v>
      </c>
    </row>
    <row r="26" spans="11:12" x14ac:dyDescent="0.25">
      <c r="K26">
        <f>K25^0.3333333</f>
        <v>4.1601670530489168</v>
      </c>
    </row>
    <row r="28" spans="11:12" x14ac:dyDescent="0.25">
      <c r="K28" t="s">
        <v>97</v>
      </c>
      <c r="L28">
        <v>1.7432662744261349</v>
      </c>
    </row>
    <row r="29" spans="11:12" x14ac:dyDescent="0.25">
      <c r="K29" t="s">
        <v>98</v>
      </c>
      <c r="L29">
        <f>L28</f>
        <v>1.7432662744261349</v>
      </c>
    </row>
    <row r="30" spans="11:12" x14ac:dyDescent="0.25">
      <c r="K30" t="s">
        <v>99</v>
      </c>
      <c r="L30">
        <f>PI()*L28^2/4</f>
        <v>2.3868071928159376</v>
      </c>
    </row>
    <row r="31" spans="11:12" x14ac:dyDescent="0.25">
      <c r="K31" t="s">
        <v>100</v>
      </c>
      <c r="L31">
        <f>L30*L29</f>
        <v>4.1608404827937413</v>
      </c>
    </row>
    <row r="32" spans="11:12" x14ac:dyDescent="0.25">
      <c r="L32">
        <f>L31-K26</f>
        <v>6.7342974482453855E-4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VersionControl</vt:lpstr>
      <vt:lpstr>Sheet2</vt:lpstr>
      <vt:lpstr>SimWorkSheetxxxxx</vt:lpstr>
      <vt:lpstr>ComponentDatabase</vt:lpstr>
      <vt:lpstr>SimWorkSheet</vt:lpstr>
      <vt:lpstr>Sheet5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E101</dc:creator>
  <cp:lastModifiedBy>User</cp:lastModifiedBy>
  <dcterms:created xsi:type="dcterms:W3CDTF">2015-03-31T02:17:19Z</dcterms:created>
  <dcterms:modified xsi:type="dcterms:W3CDTF">2015-05-10T10:01:17Z</dcterms:modified>
</cp:coreProperties>
</file>